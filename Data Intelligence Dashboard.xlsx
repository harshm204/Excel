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AC7247DE-3E4A-497F-AC04-F0784119DD17}" xr6:coauthVersionLast="47" xr6:coauthVersionMax="47" xr10:uidLastSave="{00000000-0000-0000-0000-000000000000}"/>
  <bookViews>
    <workbookView xWindow="-108" yWindow="-108" windowWidth="23256" windowHeight="13176" xr2:uid="{00000000-000D-0000-FFFF-FFFF00000000}"/>
  </bookViews>
  <sheets>
    <sheet name="Project Instructions" sheetId="1" r:id="rId1"/>
    <sheet name="Dataset" sheetId="2" r:id="rId2"/>
    <sheet name="Dashboard" sheetId="15" r:id="rId3"/>
    <sheet name="Filter By Category" sheetId="13" r:id="rId4"/>
    <sheet name="WHAT-IF" sheetId="12" r:id="rId5"/>
    <sheet name="Descriptive Statistics" sheetId="10" r:id="rId6"/>
    <sheet name="Linear Regression" sheetId="11" r:id="rId7"/>
    <sheet name="Sales By Category" sheetId="4" r:id="rId8"/>
    <sheet name="Payment Method" sheetId="14" r:id="rId9"/>
    <sheet name="Categorywise Unit Price" sheetId="5" r:id="rId10"/>
    <sheet name="Sales Trend Over Time" sheetId="6" r:id="rId11"/>
    <sheet name="Sub-Category By Unit Price" sheetId="9" r:id="rId12"/>
    <sheet name="Sales By Region" sheetId="3" r:id="rId13"/>
  </sheets>
  <definedNames>
    <definedName name="_xlnm._FilterDatabase" localSheetId="3" hidden="1">'Filter By Category'!$A$5:$N$5</definedName>
    <definedName name="NativeTimeline_Date">#N/A</definedName>
    <definedName name="Slicer_Product_Name">#N/A</definedName>
    <definedName name="Slicer_Region">#N/A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3" l="1" a="1"/>
  <c r="A6" i="13" s="1"/>
  <c r="E15" i="12"/>
  <c r="B15" i="12"/>
  <c r="N13" i="12"/>
  <c r="K13" i="12"/>
  <c r="H13" i="12"/>
  <c r="E13" i="12"/>
  <c r="E16" i="12" s="1"/>
  <c r="B13" i="12"/>
  <c r="B16" i="12" s="1"/>
  <c r="N8" i="12"/>
  <c r="K8" i="12"/>
  <c r="H8" i="12"/>
  <c r="E8" i="12"/>
  <c r="N7" i="12"/>
  <c r="K7" i="12"/>
  <c r="H7" i="12"/>
  <c r="E7" i="12"/>
  <c r="B7" i="12"/>
  <c r="Q5" i="12"/>
  <c r="Q7" i="12" s="1"/>
  <c r="N5" i="12"/>
  <c r="K5" i="12"/>
  <c r="H5" i="12"/>
  <c r="E5" i="12"/>
  <c r="B5" i="12"/>
  <c r="B8" i="12" s="1"/>
  <c r="H15" i="12" l="1"/>
  <c r="H16" i="12" s="1"/>
  <c r="K15" i="12"/>
  <c r="K16" i="12" s="1"/>
  <c r="N15" i="12"/>
  <c r="N16" i="12" s="1"/>
  <c r="Q8" i="12"/>
  <c r="I252" i="2" l="1"/>
  <c r="N252" i="2"/>
  <c r="N1048576" i="2" s="1"/>
  <c r="H252" i="2"/>
  <c r="H1048576" i="2" s="1"/>
  <c r="I104857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<sst xmlns="http://schemas.openxmlformats.org/spreadsheetml/2006/main" count="2469" uniqueCount="460">
  <si>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</si>
  <si>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</si>
  <si>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</si>
  <si>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</si>
  <si>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</si>
  <si>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</si>
  <si>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</si>
  <si>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</si>
  <si>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</si>
  <si>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</si>
  <si>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</si>
  <si>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</si>
  <si>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</si>
  <si>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</si>
  <si>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</si>
  <si>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</si>
  <si>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</si>
  <si>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</si>
  <si>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</si>
  <si>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</si>
  <si>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</si>
  <si>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</si>
  <si>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</si>
  <si>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</si>
  <si>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</si>
  <si>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</si>
  <si>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</si>
  <si>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</si>
  <si>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</si>
  <si>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</si>
  <si>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</si>
  <si>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</si>
  <si>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</si>
  <si>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</si>
  <si>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</si>
  <si>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</si>
  <si>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</si>
  <si>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</si>
  <si>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</si>
  <si>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</si>
  <si>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</si>
  <si>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</si>
  <si>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</si>
  <si>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</si>
  <si>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</si>
  <si>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</si>
  <si>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</si>
  <si>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</si>
  <si>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</si>
  <si>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</si>
  <si>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</si>
  <si>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</si>
  <si>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</si>
  <si>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</si>
  <si>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</si>
  <si>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</si>
  <si>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</si>
  <si>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</si>
  <si>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</si>
  <si>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</si>
  <si>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</si>
  <si>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</si>
  <si>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</si>
  <si>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</si>
  <si>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</si>
  <si>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</si>
  <si>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</si>
  <si>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</si>
  <si>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</si>
  <si>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</si>
  <si>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</si>
  <si>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</si>
  <si>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</si>
  <si>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</si>
  <si>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</si>
  <si>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</si>
  <si>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</si>
  <si>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</si>
  <si>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</si>
  <si>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</si>
  <si>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</si>
  <si>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</si>
  <si>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</si>
  <si>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</si>
  <si>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</si>
  <si>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</si>
  <si>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</si>
  <si>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</si>
  <si>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</si>
  <si>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</si>
  <si>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</si>
  <si>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</si>
  <si>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</si>
  <si>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</si>
  <si>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</si>
  <si>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</si>
  <si>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</si>
  <si>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</si>
  <si>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</si>
  <si>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</si>
  <si>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</si>
  <si>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</si>
  <si>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</si>
  <si>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</si>
  <si>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</si>
  <si>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</si>
  <si>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</si>
  <si>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</si>
  <si>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</si>
  <si>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</si>
  <si>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</si>
  <si>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</si>
  <si>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</si>
  <si>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</si>
  <si>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</si>
  <si>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</si>
  <si>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</si>
  <si>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</si>
  <si>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</si>
  <si>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</si>
  <si>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</si>
  <si>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</si>
  <si>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</si>
  <si>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</si>
  <si>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</si>
  <si>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</si>
  <si>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</si>
  <si>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</si>
  <si>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</si>
  <si>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</si>
  <si>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</si>
  <si>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</si>
  <si>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</si>
  <si>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</si>
  <si>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</si>
  <si>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</si>
  <si>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</si>
  <si>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</si>
  <si>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</si>
  <si>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</si>
  <si>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</si>
  <si>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</si>
  <si>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</si>
  <si>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</si>
  <si>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</si>
  <si>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</si>
  <si>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</si>
  <si>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</si>
  <si>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</si>
  <si>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</si>
  <si>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</si>
  <si>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</si>
  <si>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</si>
  <si>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</si>
  <si>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</si>
  <si>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</si>
  <si>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</si>
  <si>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</si>
  <si>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</si>
  <si>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</si>
  <si>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</si>
  <si>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</si>
  <si>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</si>
  <si>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</si>
  <si>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</si>
  <si>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</si>
  <si>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</si>
  <si>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</si>
  <si>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</si>
  <si>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</si>
  <si>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</si>
  <si>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</si>
  <si>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</si>
  <si>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</si>
  <si>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</si>
  <si>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</si>
  <si>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</si>
  <si>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</si>
  <si>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</si>
  <si>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</si>
  <si>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</si>
  <si>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</si>
  <si>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</si>
  <si>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</si>
  <si>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</si>
  <si>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</si>
  <si>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</si>
  <si>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</si>
  <si>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</si>
  <si>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</si>
  <si>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</si>
  <si>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</si>
  <si>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</si>
  <si>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</si>
  <si>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</si>
  <si>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</si>
  <si>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</si>
  <si>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</si>
  <si>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</si>
  <si>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</si>
  <si>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</si>
  <si>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</si>
  <si>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</si>
  <si>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</si>
  <si>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</si>
  <si>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</si>
  <si>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</si>
  <si>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</si>
  <si>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</si>
  <si>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</si>
  <si>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</si>
  <si>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</si>
  <si>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</si>
  <si>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</si>
  <si>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</si>
  <si>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</si>
  <si>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</si>
  <si>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</si>
  <si>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</si>
  <si>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</si>
  <si>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</si>
  <si>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</si>
  <si>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</si>
  <si>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</si>
  <si>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</si>
  <si>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</si>
  <si>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</si>
  <si>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</si>
  <si>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</si>
  <si>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</si>
  <si>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</si>
  <si>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</si>
  <si>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</si>
  <si>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</si>
  <si>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</si>
  <si>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</si>
  <si>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</si>
  <si>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</si>
  <si>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</si>
  <si>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</si>
  <si>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</si>
  <si>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</si>
  <si>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</si>
  <si>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</si>
  <si>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</si>
  <si>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</si>
  <si>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</si>
  <si>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</si>
  <si>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</si>
  <si>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</si>
  <si>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</si>
  <si>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</si>
  <si>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</si>
  <si>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</si>
  <si>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</si>
  <si>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</si>
  <si>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</si>
  <si>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</si>
  <si>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</si>
  <si>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</si>
  <si>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</si>
  <si>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</si>
  <si>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</si>
  <si>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</si>
  <si>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</si>
  <si>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</si>
  <si>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</si>
  <si>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</si>
  <si>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</si>
  <si>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</si>
  <si>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</si>
  <si>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</si>
  <si>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</si>
  <si>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</si>
  <si>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</si>
  <si>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</si>
  <si>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</si>
  <si>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</si>
  <si>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</si>
  <si>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</si>
  <si>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</si>
  <si>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</si>
  <si>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</si>
  <si>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</si>
  <si>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</si>
  <si>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</si>
  <si>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</si>
  <si>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</si>
  <si>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</si>
  <si>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</si>
  <si>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</si>
  <si>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</si>
  <si>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</si>
  <si>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</si>
  <si>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</si>
  <si>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</si>
  <si>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</si>
  <si>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</si>
  <si>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</si>
  <si>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</si>
  <si>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</si>
  <si>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</si>
  <si>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</si>
  <si>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</si>
  <si>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</si>
  <si>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</si>
  <si>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</si>
  <si>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</si>
  <si>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</si>
  <si>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</si>
  <si>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</si>
  <si>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</si>
  <si>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</si>
  <si>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</si>
  <si>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</si>
  <si>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</si>
  <si>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</si>
  <si>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</si>
  <si>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</si>
  <si>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</si>
  <si>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</si>
  <si>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</si>
  <si>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</si>
  <si>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</si>
  <si>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</si>
  <si>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</si>
  <si>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</si>
  <si>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</si>
  <si>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</si>
  <si>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</si>
  <si>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</si>
  <si>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</si>
  <si>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</si>
  <si>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</si>
  <si>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</si>
  <si>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</si>
  <si>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</si>
  <si>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</si>
  <si>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</si>
  <si>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</si>
  <si>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</si>
  <si>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</si>
  <si>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</si>
  <si>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</si>
  <si>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</si>
  <si>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</si>
  <si>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</si>
  <si>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</si>
  <si>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</si>
  <si>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</si>
  <si>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</si>
  <si>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</si>
  <si>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</si>
  <si>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</si>
  <si>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</si>
  <si>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</si>
  <si>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</si>
  <si>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</si>
  <si>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</si>
  <si>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</si>
  <si>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</si>
  <si>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</si>
  <si>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</si>
  <si>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</si>
  <si>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</si>
  <si>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</si>
  <si>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</si>
  <si>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</si>
  <si>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</si>
  <si>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</si>
  <si>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</si>
  <si>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</si>
  <si>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</si>
  <si>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</si>
  <si>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</si>
  <si>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</si>
  <si>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</si>
  <si>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</si>
  <si>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</si>
  <si>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</si>
  <si>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</si>
  <si>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</si>
  <si>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</si>
  <si>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</si>
  <si>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</si>
  <si>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</si>
  <si>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</si>
  <si>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</si>
  <si>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</si>
  <si>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</si>
  <si>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</si>
  <si>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</si>
  <si>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</si>
  <si>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</si>
  <si>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</si>
  <si>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</si>
  <si>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</si>
  <si>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</si>
  <si>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</si>
  <si>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</si>
  <si>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</si>
  <si>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Row Labels</t>
  </si>
  <si>
    <t>Grand Total</t>
  </si>
  <si>
    <t>Sum of Total_Amount</t>
  </si>
  <si>
    <t>Sum of Unit_Price</t>
  </si>
  <si>
    <t>Apr</t>
  </si>
  <si>
    <t>May</t>
  </si>
  <si>
    <t>Jun</t>
  </si>
  <si>
    <t>Jul</t>
  </si>
  <si>
    <t>Aug</t>
  </si>
  <si>
    <t>Sep</t>
  </si>
  <si>
    <t>Oct</t>
  </si>
  <si>
    <t>Nov</t>
  </si>
  <si>
    <t>Dec</t>
  </si>
  <si>
    <t>Mean</t>
  </si>
  <si>
    <t>Standard Error</t>
  </si>
  <si>
    <t>Median</t>
  </si>
  <si>
    <t>Mode</t>
  </si>
  <si>
    <t>Standard Deviation</t>
  </si>
  <si>
    <t>Sample Variance</t>
  </si>
  <si>
    <t>Kurtosis</t>
  </si>
  <si>
    <t>Skewness</t>
  </si>
  <si>
    <t>Range</t>
  </si>
  <si>
    <t>Minimum</t>
  </si>
  <si>
    <t>Maximum</t>
  </si>
  <si>
    <t>Sum</t>
  </si>
  <si>
    <t>Count</t>
  </si>
  <si>
    <t>Unit Price</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</si>
  <si>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</si>
  <si>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</si>
  <si>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</si>
  <si>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</si>
  <si>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</si>
  <si>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</si>
  <si>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</si>
  <si>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</si>
  <si>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</si>
  <si>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</si>
  <si>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</si>
  <si>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</si>
  <si>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</si>
  <si>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</si>
  <si>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</si>
  <si>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</si>
  <si>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</si>
  <si>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</si>
  <si>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</si>
  <si>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</si>
  <si>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</si>
  <si>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</si>
  <si>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</si>
  <si>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</si>
  <si>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Product</t>
  </si>
  <si>
    <t>Qty</t>
  </si>
  <si>
    <t>Price</t>
  </si>
  <si>
    <t>Total Amount</t>
  </si>
  <si>
    <t>Discount</t>
  </si>
  <si>
    <t>Dis Amount</t>
  </si>
  <si>
    <t>Final Amount</t>
  </si>
  <si>
    <t>Filter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</si>
</sst>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0"/>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2CC"/>
        <bgColor rgb="FFFFF2CC"/>
      </patternFill>
    </fill>
    <fill>
      <patternFill patternType="solid">
        <fgColor theme="4" tint="0.79998168889431442"/>
        <bgColor theme="4" tint="0.79998168889431442"/>
      </patternFill>
    </fill>
    <fill>
      <patternFill patternType="solid">
        <fgColor theme="4"/>
        <bgColor theme="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5" fillId="0" borderId="0" xfId="0" applyFont="1"/>
    <xf numFmtId="0" fontId="3" fillId="0" borderId="0" xfId="0" applyFont="1"/>
    <xf numFmtId="164" fontId="3"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6" xfId="0" applyBorder="1"/>
    <xf numFmtId="0" fontId="10" fillId="0" borderId="7" xfId="0" applyFont="1" applyBorder="1" applyAlignment="1">
      <alignment horizontal="center"/>
    </xf>
    <xf numFmtId="0" fontId="10" fillId="0" borderId="7" xfId="0" applyFont="1" applyBorder="1" applyAlignment="1">
      <alignment horizontal="centerContinuous"/>
    </xf>
    <xf numFmtId="0" fontId="0" fillId="0" borderId="8" xfId="0" applyBorder="1"/>
    <xf numFmtId="9" fontId="0" fillId="0" borderId="8" xfId="0" applyNumberFormat="1" applyBorder="1"/>
    <xf numFmtId="0" fontId="1" fillId="0" borderId="0" xfId="0" applyFont="1"/>
    <xf numFmtId="0" fontId="1" fillId="0" borderId="4" xfId="0" applyFont="1" applyBorder="1"/>
    <xf numFmtId="0" fontId="1" fillId="3" borderId="4" xfId="0" applyFont="1" applyFill="1" applyBorder="1"/>
    <xf numFmtId="0" fontId="8" fillId="4" borderId="3" xfId="0" applyFont="1" applyFill="1" applyBorder="1"/>
    <xf numFmtId="0" fontId="8" fillId="4" borderId="4" xfId="0" applyFont="1" applyFill="1" applyBorder="1"/>
    <xf numFmtId="0" fontId="8" fillId="4" borderId="5" xfId="0" applyFont="1" applyFill="1" applyBorder="1"/>
    <xf numFmtId="0" fontId="9" fillId="0" borderId="0" xfId="0" applyFont="1"/>
    <xf numFmtId="0" fontId="4" fillId="0" borderId="2" xfId="0" applyFont="1" applyBorder="1" applyAlignment="1">
      <alignment horizontal="center" wrapText="1"/>
    </xf>
    <xf numFmtId="0" fontId="4" fillId="0" borderId="0" xfId="0" applyFont="1" applyAlignment="1">
      <alignment horizontal="center"/>
    </xf>
    <xf numFmtId="0" fontId="10" fillId="0" borderId="7" xfId="0" applyFont="1" applyBorder="1" applyAlignment="1">
      <alignment horizontal="center"/>
    </xf>
  </cellXfs>
  <cellStyles count="1">
    <cellStyle name="Normal" xfId="0" builtinId="0"/>
  </cellStyles>
  <dxfs count="30">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Dashboard.xlsx]Sales Trend Over Time!PivotTable4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Sales</a:t>
            </a:r>
            <a:r>
              <a:rPr lang="en-US" b="1" baseline="0">
                <a:solidFill>
                  <a:schemeClr val="accent1"/>
                </a:solidFill>
              </a:rPr>
              <a:t> Trend Over Time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Sum of Unit_Price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 Over Time'!$A$4:$A$13</c:f>
              <c:strCache>
                <c:ptCount val="9"/>
                <c:pt idx="0">
                  <c:v>Apr</c:v>
                </c:pt>
                <c:pt idx="1">
                  <c:v>May</c:v>
                </c:pt>
                <c:pt idx="2">
                  <c:v>Jun</c:v>
                </c:pt>
                <c:pt idx="3">
                  <c:v>Jul</c:v>
                </c:pt>
                <c:pt idx="4">
                  <c:v>Aug</c:v>
                </c:pt>
                <c:pt idx="5">
                  <c:v>Sep</c:v>
                </c:pt>
                <c:pt idx="6">
                  <c:v>Oct</c:v>
                </c:pt>
                <c:pt idx="7">
                  <c:v>Nov</c:v>
                </c:pt>
                <c:pt idx="8">
                  <c:v>Dec</c:v>
                </c:pt>
              </c:strCache>
            </c:strRef>
          </c:cat>
          <c:val>
            <c:numRef>
              <c:f>'Sales Trend Over Time'!$B$4:$B$13</c:f>
              <c:numCache>
                <c:formatCode>General</c:formatCode>
                <c:ptCount val="9"/>
                <c:pt idx="0">
                  <c:v>6809.7899999999981</c:v>
                </c:pt>
                <c:pt idx="1">
                  <c:v>4939.8099999999977</c:v>
                </c:pt>
                <c:pt idx="2">
                  <c:v>5139.8099999999986</c:v>
                </c:pt>
                <c:pt idx="3">
                  <c:v>7059.7599999999975</c:v>
                </c:pt>
                <c:pt idx="4">
                  <c:v>4909.8199999999988</c:v>
                </c:pt>
                <c:pt idx="5">
                  <c:v>4959.8099999999986</c:v>
                </c:pt>
                <c:pt idx="6">
                  <c:v>6739.8399999999983</c:v>
                </c:pt>
                <c:pt idx="7">
                  <c:v>3919.829999999999</c:v>
                </c:pt>
                <c:pt idx="8">
                  <c:v>7609.7499999999964</c:v>
                </c:pt>
              </c:numCache>
            </c:numRef>
          </c:val>
          <c:smooth val="0"/>
          <c:extLst>
            <c:ext xmlns:c16="http://schemas.microsoft.com/office/drawing/2014/chart" uri="{C3380CC4-5D6E-409C-BE32-E72D297353CC}">
              <c16:uniqueId val="{00000000-4EC0-4278-988C-E730EC5D7827}"/>
            </c:ext>
          </c:extLst>
        </c:ser>
        <c:ser>
          <c:idx val="1"/>
          <c:order val="1"/>
          <c:tx>
            <c:strRef>
              <c:f>'Sales Trend Over Time'!$C$3</c:f>
              <c:strCache>
                <c:ptCount val="1"/>
                <c:pt idx="0">
                  <c:v>Sum of Total_Amount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Trend Over Time'!$A$4:$A$13</c:f>
              <c:strCache>
                <c:ptCount val="9"/>
                <c:pt idx="0">
                  <c:v>Apr</c:v>
                </c:pt>
                <c:pt idx="1">
                  <c:v>May</c:v>
                </c:pt>
                <c:pt idx="2">
                  <c:v>Jun</c:v>
                </c:pt>
                <c:pt idx="3">
                  <c:v>Jul</c:v>
                </c:pt>
                <c:pt idx="4">
                  <c:v>Aug</c:v>
                </c:pt>
                <c:pt idx="5">
                  <c:v>Sep</c:v>
                </c:pt>
                <c:pt idx="6">
                  <c:v>Oct</c:v>
                </c:pt>
                <c:pt idx="7">
                  <c:v>Nov</c:v>
                </c:pt>
                <c:pt idx="8">
                  <c:v>Dec</c:v>
                </c:pt>
              </c:strCache>
            </c:strRef>
          </c:cat>
          <c:val>
            <c:numRef>
              <c:f>'Sales Trend Over Time'!$C$4:$C$13</c:f>
              <c:numCache>
                <c:formatCode>General</c:formatCode>
                <c:ptCount val="9"/>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numCache>
            </c:numRef>
          </c:val>
          <c:smooth val="0"/>
          <c:extLst>
            <c:ext xmlns:c16="http://schemas.microsoft.com/office/drawing/2014/chart" uri="{C3380CC4-5D6E-409C-BE32-E72D297353CC}">
              <c16:uniqueId val="{00000001-4EC0-4278-988C-E730EC5D7827}"/>
            </c:ext>
          </c:extLst>
        </c:ser>
        <c:dLbls>
          <c:showLegendKey val="0"/>
          <c:showVal val="0"/>
          <c:showCatName val="0"/>
          <c:showSerName val="0"/>
          <c:showPercent val="0"/>
          <c:showBubbleSize val="0"/>
        </c:dLbls>
        <c:marker val="1"/>
        <c:smooth val="0"/>
        <c:axId val="1987353439"/>
        <c:axId val="1987355839"/>
      </c:lineChart>
      <c:catAx>
        <c:axId val="198735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55839"/>
        <c:crosses val="autoZero"/>
        <c:auto val="1"/>
        <c:lblAlgn val="ctr"/>
        <c:lblOffset val="100"/>
        <c:noMultiLvlLbl val="0"/>
      </c:catAx>
      <c:valAx>
        <c:axId val="198735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5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Dashboard.xlsx]Categorywise Unit Price!PivotTable2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Unit Price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'Categorywise Unit Price'!$B$3</c:f>
              <c:strCache>
                <c:ptCount val="1"/>
                <c:pt idx="0">
                  <c:v>Total</c:v>
                </c:pt>
              </c:strCache>
            </c:strRef>
          </c:tx>
          <c:spPr>
            <a:solidFill>
              <a:schemeClr val="accent1"/>
            </a:solidFill>
            <a:ln>
              <a:noFill/>
            </a:ln>
            <a:effectLst/>
            <a:sp3d/>
          </c:spPr>
          <c:invertIfNegative val="0"/>
          <c:cat>
            <c:strRef>
              <c:f>'Categorywise Unit Price'!$A$4:$A$7</c:f>
              <c:strCache>
                <c:ptCount val="3"/>
                <c:pt idx="0">
                  <c:v>Appliances</c:v>
                </c:pt>
                <c:pt idx="1">
                  <c:v>Electronics</c:v>
                </c:pt>
                <c:pt idx="2">
                  <c:v>Furniture</c:v>
                </c:pt>
              </c:strCache>
            </c:strRef>
          </c:cat>
          <c:val>
            <c:numRef>
              <c:f>'Categorywise Unit Price'!$B$4:$B$7</c:f>
              <c:numCache>
                <c:formatCode>General</c:formatCode>
                <c:ptCount val="3"/>
                <c:pt idx="0">
                  <c:v>2859.5699999999974</c:v>
                </c:pt>
                <c:pt idx="1">
                  <c:v>55258.689999999959</c:v>
                </c:pt>
                <c:pt idx="2">
                  <c:v>16049.239999999987</c:v>
                </c:pt>
              </c:numCache>
            </c:numRef>
          </c:val>
          <c:extLst>
            <c:ext xmlns:c16="http://schemas.microsoft.com/office/drawing/2014/chart" uri="{C3380CC4-5D6E-409C-BE32-E72D297353CC}">
              <c16:uniqueId val="{00000000-C293-4AF5-B843-142B5ADBB075}"/>
            </c:ext>
          </c:extLst>
        </c:ser>
        <c:dLbls>
          <c:showLegendKey val="0"/>
          <c:showVal val="0"/>
          <c:showCatName val="0"/>
          <c:showSerName val="0"/>
          <c:showPercent val="0"/>
          <c:showBubbleSize val="0"/>
        </c:dLbls>
        <c:gapWidth val="150"/>
        <c:shape val="box"/>
        <c:axId val="1945062479"/>
        <c:axId val="1945061519"/>
        <c:axId val="0"/>
      </c:bar3DChart>
      <c:catAx>
        <c:axId val="194506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61519"/>
        <c:crosses val="autoZero"/>
        <c:auto val="1"/>
        <c:lblAlgn val="ctr"/>
        <c:lblOffset val="100"/>
        <c:noMultiLvlLbl val="0"/>
      </c:catAx>
      <c:valAx>
        <c:axId val="1945061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62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Intelligence Dashboard.xlsx]Sales By Category!PivotTable1</c:name>
    <c:fmtId val="11"/>
  </c:pivotSource>
  <c:chart>
    <c:autoTitleDeleted val="1"/>
    <c:pivotFmts>
      <c:pivotFmt>
        <c:idx val="0"/>
        <c:spPr>
          <a:solidFill>
            <a:schemeClr val="accent5"/>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hade val="65000"/>
            </a:schemeClr>
          </a:solidFill>
          <a:ln>
            <a:noFill/>
          </a:ln>
          <a:effectLst>
            <a:outerShdw blurRad="317500" algn="ctr" rotWithShape="0">
              <a:prstClr val="black">
                <a:alpha val="25000"/>
              </a:prstClr>
            </a:outerShdw>
          </a:effectLst>
        </c:spPr>
      </c:pivotFmt>
      <c:pivotFmt>
        <c:idx val="3"/>
        <c:spPr>
          <a:solidFill>
            <a:schemeClr val="accent5"/>
          </a:solidFill>
          <a:ln>
            <a:noFill/>
          </a:ln>
          <a:effectLst>
            <a:outerShdw blurRad="317500" algn="ctr" rotWithShape="0">
              <a:prstClr val="black">
                <a:alpha val="25000"/>
              </a:prstClr>
            </a:outerShdw>
          </a:effectLst>
        </c:spPr>
      </c:pivotFmt>
      <c:pivotFmt>
        <c:idx val="4"/>
        <c:spPr>
          <a:solidFill>
            <a:schemeClr val="accent5">
              <a:tint val="65000"/>
            </a:schemeClr>
          </a:solidFill>
          <a:ln>
            <a:noFill/>
          </a:ln>
          <a:effectLst>
            <a:outerShdw blurRad="317500" algn="ctr" rotWithShape="0">
              <a:prstClr val="black">
                <a:alpha val="25000"/>
              </a:prstClr>
            </a:outerShdw>
          </a:effectLst>
        </c:spPr>
      </c:pivotFmt>
      <c:pivotFmt>
        <c:idx val="5"/>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hade val="65000"/>
            </a:schemeClr>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5">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'Sales By Category'!$B$3</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E52-459E-B6F4-FDBF8F2D29DC}"/>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E52-459E-B6F4-FDBF8F2D29DC}"/>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E52-459E-B6F4-FDBF8F2D29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Appliances</c:v>
                </c:pt>
                <c:pt idx="1">
                  <c:v>Electronics</c:v>
                </c:pt>
                <c:pt idx="2">
                  <c:v>Furniture</c:v>
                </c:pt>
              </c:strCache>
            </c:strRef>
          </c:cat>
          <c:val>
            <c:numRef>
              <c:f>'Sales By Category'!$B$4:$B$7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9E52-459E-B6F4-FDBF8F2D29D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Intelligence Dashboard.xlsx]Payment Method!PivotTable8</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hade val="58000"/>
            </a:schemeClr>
          </a:solidFill>
          <a:ln>
            <a:noFill/>
          </a:ln>
          <a:effectLst>
            <a:outerShdw blurRad="317500" algn="ctr" rotWithShape="0">
              <a:prstClr val="black">
                <a:alpha val="25000"/>
              </a:prstClr>
            </a:outerShdw>
          </a:effectLst>
        </c:spPr>
      </c:pivotFmt>
      <c:pivotFmt>
        <c:idx val="3"/>
        <c:spPr>
          <a:solidFill>
            <a:schemeClr val="accent5">
              <a:shade val="86000"/>
            </a:schemeClr>
          </a:solidFill>
          <a:ln>
            <a:noFill/>
          </a:ln>
          <a:effectLst>
            <a:outerShdw blurRad="317500" algn="ctr" rotWithShape="0">
              <a:prstClr val="black">
                <a:alpha val="25000"/>
              </a:prstClr>
            </a:outerShdw>
          </a:effectLst>
        </c:spPr>
      </c:pivotFmt>
      <c:pivotFmt>
        <c:idx val="4"/>
        <c:spPr>
          <a:solidFill>
            <a:schemeClr val="accent5">
              <a:tint val="86000"/>
            </a:schemeClr>
          </a:solidFill>
          <a:ln>
            <a:noFill/>
          </a:ln>
          <a:effectLst>
            <a:outerShdw blurRad="317500" algn="ctr" rotWithShape="0">
              <a:prstClr val="black">
                <a:alpha val="25000"/>
              </a:prstClr>
            </a:outerShdw>
          </a:effectLst>
        </c:spPr>
      </c:pivotFmt>
      <c:pivotFmt>
        <c:idx val="5"/>
        <c:spPr>
          <a:solidFill>
            <a:schemeClr val="accent5">
              <a:tint val="58000"/>
            </a:schemeClr>
          </a:solidFill>
          <a:ln>
            <a:noFill/>
          </a:ln>
          <a:effectLst>
            <a:outerShdw blurRad="317500" algn="ctr" rotWithShape="0">
              <a:prstClr val="black">
                <a:alpha val="25000"/>
              </a:prstClr>
            </a:outerShdw>
          </a:effectLst>
        </c:spPr>
      </c:pivotFmt>
      <c:pivotFmt>
        <c:idx val="6"/>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a:outerShdw blurRad="317500" algn="ctr" rotWithShape="0">
              <a:prstClr val="black">
                <a:alpha val="25000"/>
              </a:prstClr>
            </a:outerShdw>
          </a:effectLst>
        </c:spPr>
      </c:pivotFmt>
      <c:pivotFmt>
        <c:idx val="8"/>
        <c:spPr>
          <a:solidFill>
            <a:schemeClr val="accent5">
              <a:shade val="86000"/>
            </a:schemeClr>
          </a:solidFill>
          <a:ln>
            <a:noFill/>
          </a:ln>
          <a:effectLst>
            <a:outerShdw blurRad="317500" algn="ctr" rotWithShape="0">
              <a:prstClr val="black">
                <a:alpha val="25000"/>
              </a:prstClr>
            </a:outerShdw>
          </a:effectLst>
        </c:spPr>
      </c:pivotFmt>
      <c:pivotFmt>
        <c:idx val="9"/>
        <c:spPr>
          <a:solidFill>
            <a:schemeClr val="accent5">
              <a:tint val="86000"/>
            </a:schemeClr>
          </a:solidFill>
          <a:ln>
            <a:noFill/>
          </a:ln>
          <a:effectLst>
            <a:outerShdw blurRad="317500" algn="ctr" rotWithShape="0">
              <a:prstClr val="black">
                <a:alpha val="25000"/>
              </a:prstClr>
            </a:outerShdw>
          </a:effectLst>
        </c:spPr>
      </c:pivotFmt>
      <c:pivotFmt>
        <c:idx val="10"/>
        <c:spPr>
          <a:solidFill>
            <a:schemeClr val="accent5">
              <a:tint val="58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'Payment Method'!$B$3</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6A-4F00-98D1-AAAC9020A788}"/>
              </c:ext>
            </c:extLst>
          </c:dPt>
          <c:dPt>
            <c:idx val="1"/>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56A-4F00-98D1-AAAC9020A788}"/>
              </c:ext>
            </c:extLst>
          </c:dPt>
          <c:dPt>
            <c:idx val="2"/>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56A-4F00-98D1-AAAC9020A788}"/>
              </c:ext>
            </c:extLst>
          </c:dPt>
          <c:dPt>
            <c:idx val="3"/>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56A-4F00-98D1-AAAC9020A7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Method'!$A$4:$A$8</c:f>
              <c:strCache>
                <c:ptCount val="4"/>
                <c:pt idx="0">
                  <c:v>Cash</c:v>
                </c:pt>
                <c:pt idx="1">
                  <c:v>Credit Card</c:v>
                </c:pt>
                <c:pt idx="2">
                  <c:v>Debit Card</c:v>
                </c:pt>
                <c:pt idx="3">
                  <c:v>PayPal</c:v>
                </c:pt>
              </c:strCache>
            </c:strRef>
          </c:cat>
          <c:val>
            <c:numRef>
              <c:f>'Payment Method'!$B$4:$B$8</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8-156A-4F00-98D1-AAAC9020A78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Dashboard.xlsx]Sub-Category By Unit Price!PivotTable7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'Sub-Category By Unit Price'!$B$3</c:f>
              <c:strCache>
                <c:ptCount val="1"/>
                <c:pt idx="0">
                  <c:v>Total</c:v>
                </c:pt>
              </c:strCache>
            </c:strRef>
          </c:tx>
          <c:spPr>
            <a:solidFill>
              <a:schemeClr val="accent1"/>
            </a:solidFill>
            <a:ln>
              <a:noFill/>
            </a:ln>
            <a:effectLst/>
            <a:sp3d/>
          </c:spPr>
          <c:invertIfNegative val="0"/>
          <c:cat>
            <c:strRef>
              <c:f>'Sub-Category By Unit Price'!$A$4:$A$14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'Sub-Category By Unit Price'!$B$4:$B$14</c:f>
              <c:numCache>
                <c:formatCode>General</c:formatCode>
                <c:ptCount val="10"/>
                <c:pt idx="0">
                  <c:v>1739.71</c:v>
                </c:pt>
                <c:pt idx="1">
                  <c:v>5249.649999999996</c:v>
                </c:pt>
                <c:pt idx="2">
                  <c:v>1119.8599999999999</c:v>
                </c:pt>
                <c:pt idx="3">
                  <c:v>7799.7399999999961</c:v>
                </c:pt>
                <c:pt idx="4">
                  <c:v>2399.84</c:v>
                </c:pt>
                <c:pt idx="5">
                  <c:v>3059.6599999999976</c:v>
                </c:pt>
                <c:pt idx="6">
                  <c:v>21599.760000000006</c:v>
                </c:pt>
                <c:pt idx="7">
                  <c:v>6499.7399999999961</c:v>
                </c:pt>
                <c:pt idx="8">
                  <c:v>2999.8499999999995</c:v>
                </c:pt>
                <c:pt idx="9">
                  <c:v>21699.69000000001</c:v>
                </c:pt>
              </c:numCache>
            </c:numRef>
          </c:val>
          <c:extLst>
            <c:ext xmlns:c16="http://schemas.microsoft.com/office/drawing/2014/chart" uri="{C3380CC4-5D6E-409C-BE32-E72D297353CC}">
              <c16:uniqueId val="{00000000-ABA7-4734-8E8E-2AEA88170C88}"/>
            </c:ext>
          </c:extLst>
        </c:ser>
        <c:dLbls>
          <c:showLegendKey val="0"/>
          <c:showVal val="0"/>
          <c:showCatName val="0"/>
          <c:showSerName val="0"/>
          <c:showPercent val="0"/>
          <c:showBubbleSize val="0"/>
        </c:dLbls>
        <c:gapWidth val="150"/>
        <c:shape val="box"/>
        <c:axId val="1993362671"/>
        <c:axId val="1993363631"/>
        <c:axId val="0"/>
      </c:bar3DChart>
      <c:catAx>
        <c:axId val="199336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63631"/>
        <c:crosses val="autoZero"/>
        <c:auto val="1"/>
        <c:lblAlgn val="ctr"/>
        <c:lblOffset val="100"/>
        <c:noMultiLvlLbl val="0"/>
      </c:catAx>
      <c:valAx>
        <c:axId val="1993363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6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Dashboard.xlsx]Sales By Region!PivotTable2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3832-4522-9B42-CCA747B888C6}"/>
            </c:ext>
          </c:extLst>
        </c:ser>
        <c:dLbls>
          <c:showLegendKey val="0"/>
          <c:showVal val="0"/>
          <c:showCatName val="0"/>
          <c:showSerName val="0"/>
          <c:showPercent val="0"/>
          <c:showBubbleSize val="0"/>
        </c:dLbls>
        <c:gapWidth val="219"/>
        <c:overlap val="-27"/>
        <c:axId val="1095718367"/>
        <c:axId val="1095716927"/>
      </c:barChart>
      <c:catAx>
        <c:axId val="109571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16927"/>
        <c:crosses val="autoZero"/>
        <c:auto val="1"/>
        <c:lblAlgn val="ctr"/>
        <c:lblOffset val="100"/>
        <c:noMultiLvlLbl val="0"/>
      </c:catAx>
      <c:valAx>
        <c:axId val="109571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1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Intelligence Dashboard.xlsx]Sales By Category!PivotTable1</c:name>
    <c:fmtId val="0"/>
  </c:pivotSource>
  <c:chart>
    <c:autoTitleDeleted val="1"/>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317500" algn="ctr" rotWithShape="0">
              <a:prstClr val="black">
                <a:alpha val="25000"/>
              </a:prstClr>
            </a:outerShdw>
          </a:effectLst>
        </c:spPr>
      </c:pivotFmt>
      <c:pivotFmt>
        <c:idx val="2"/>
        <c:spPr>
          <a:solidFill>
            <a:schemeClr val="accent5"/>
          </a:solidFill>
          <a:ln>
            <a:noFill/>
          </a:ln>
          <a:effectLst>
            <a:outerShdw blurRad="317500" algn="ctr" rotWithShape="0">
              <a:prstClr val="black">
                <a:alpha val="25000"/>
              </a:prstClr>
            </a:outerShdw>
          </a:effectLst>
        </c:spPr>
      </c:pivotFmt>
      <c:pivotFmt>
        <c:idx val="3"/>
        <c:spPr>
          <a:solidFill>
            <a:schemeClr val="accent5">
              <a:tint val="65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'Sales By Category'!$B$3</c:f>
              <c:strCache>
                <c:ptCount val="1"/>
                <c:pt idx="0">
                  <c:v>Total</c:v>
                </c:pt>
              </c:strCache>
            </c:strRef>
          </c:tx>
          <c:dPt>
            <c:idx val="0"/>
            <c:bubble3D val="0"/>
            <c:spPr>
              <a:solidFill>
                <a:schemeClr val="accent5">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5E2-417B-8134-AC84230E99A0}"/>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5E2-417B-8134-AC84230E99A0}"/>
              </c:ext>
            </c:extLst>
          </c:dPt>
          <c:dPt>
            <c:idx val="2"/>
            <c:bubble3D val="0"/>
            <c:spPr>
              <a:solidFill>
                <a:schemeClr val="accent5">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5E2-417B-8134-AC84230E99A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Category'!$A$4:$A$7</c:f>
              <c:strCache>
                <c:ptCount val="3"/>
                <c:pt idx="0">
                  <c:v>Appliances</c:v>
                </c:pt>
                <c:pt idx="1">
                  <c:v>Electronics</c:v>
                </c:pt>
                <c:pt idx="2">
                  <c:v>Furniture</c:v>
                </c:pt>
              </c:strCache>
            </c:strRef>
          </c:cat>
          <c:val>
            <c:numRef>
              <c:f>'Sales By Category'!$B$4:$B$7</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0-B361-4C32-986E-97410A0805F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 Intelligence Dashboard.xlsx]Payment Method!PivotTable8</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8000"/>
            </a:schemeClr>
          </a:solidFill>
          <a:ln>
            <a:noFill/>
          </a:ln>
          <a:effectLst>
            <a:outerShdw blurRad="317500" algn="ctr" rotWithShape="0">
              <a:prstClr val="black">
                <a:alpha val="25000"/>
              </a:prstClr>
            </a:outerShdw>
          </a:effectLst>
        </c:spPr>
      </c:pivotFmt>
      <c:pivotFmt>
        <c:idx val="2"/>
        <c:spPr>
          <a:solidFill>
            <a:schemeClr val="accent5">
              <a:shade val="86000"/>
            </a:schemeClr>
          </a:solidFill>
          <a:ln>
            <a:noFill/>
          </a:ln>
          <a:effectLst>
            <a:outerShdw blurRad="317500" algn="ctr" rotWithShape="0">
              <a:prstClr val="black">
                <a:alpha val="25000"/>
              </a:prstClr>
            </a:outerShdw>
          </a:effectLst>
        </c:spPr>
      </c:pivotFmt>
      <c:pivotFmt>
        <c:idx val="3"/>
        <c:spPr>
          <a:solidFill>
            <a:schemeClr val="accent5">
              <a:tint val="86000"/>
            </a:schemeClr>
          </a:solidFill>
          <a:ln>
            <a:noFill/>
          </a:ln>
          <a:effectLst>
            <a:outerShdw blurRad="317500" algn="ctr" rotWithShape="0">
              <a:prstClr val="black">
                <a:alpha val="25000"/>
              </a:prstClr>
            </a:outerShdw>
          </a:effectLst>
        </c:spPr>
      </c:pivotFmt>
      <c:pivotFmt>
        <c:idx val="4"/>
        <c:spPr>
          <a:solidFill>
            <a:schemeClr val="accent5">
              <a:tint val="58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'Payment Method'!$B$3</c:f>
              <c:strCache>
                <c:ptCount val="1"/>
                <c:pt idx="0">
                  <c:v>Total</c:v>
                </c:pt>
              </c:strCache>
            </c:strRef>
          </c:tx>
          <c:dPt>
            <c:idx val="0"/>
            <c:bubble3D val="0"/>
            <c:spPr>
              <a:solidFill>
                <a:schemeClr val="accent5">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904-483C-BF47-F9E42C5E1E71}"/>
              </c:ext>
            </c:extLst>
          </c:dPt>
          <c:dPt>
            <c:idx val="1"/>
            <c:bubble3D val="0"/>
            <c:spPr>
              <a:solidFill>
                <a:schemeClr val="accent5">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904-483C-BF47-F9E42C5E1E71}"/>
              </c:ext>
            </c:extLst>
          </c:dPt>
          <c:dPt>
            <c:idx val="2"/>
            <c:bubble3D val="0"/>
            <c:spPr>
              <a:solidFill>
                <a:schemeClr val="accent5">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904-483C-BF47-F9E42C5E1E71}"/>
              </c:ext>
            </c:extLst>
          </c:dPt>
          <c:dPt>
            <c:idx val="3"/>
            <c:bubble3D val="0"/>
            <c:spPr>
              <a:solidFill>
                <a:schemeClr val="accent5">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904-483C-BF47-F9E42C5E1E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Method'!$A$4:$A$8</c:f>
              <c:strCache>
                <c:ptCount val="4"/>
                <c:pt idx="0">
                  <c:v>Cash</c:v>
                </c:pt>
                <c:pt idx="1">
                  <c:v>Credit Card</c:v>
                </c:pt>
                <c:pt idx="2">
                  <c:v>Debit Card</c:v>
                </c:pt>
                <c:pt idx="3">
                  <c:v>PayPal</c:v>
                </c:pt>
              </c:strCache>
            </c:strRef>
          </c:cat>
          <c:val>
            <c:numRef>
              <c:f>'Payment Method'!$B$4:$B$8</c:f>
              <c:numCache>
                <c:formatCode>General</c:formatCode>
                <c:ptCount val="4"/>
                <c:pt idx="0">
                  <c:v>57427.790000000023</c:v>
                </c:pt>
                <c:pt idx="1">
                  <c:v>61447.960000000014</c:v>
                </c:pt>
                <c:pt idx="2">
                  <c:v>52118.310000000005</c:v>
                </c:pt>
                <c:pt idx="3">
                  <c:v>58198.409999999996</c:v>
                </c:pt>
              </c:numCache>
            </c:numRef>
          </c:val>
          <c:extLst>
            <c:ext xmlns:c16="http://schemas.microsoft.com/office/drawing/2014/chart" uri="{C3380CC4-5D6E-409C-BE32-E72D297353CC}">
              <c16:uniqueId val="{00000000-C8B4-4C49-B631-A550EF288DE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Dashboard.xlsx]Categorywise Unit Price!PivotTable2</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'Categorywise Unit Price'!$B$3</c:f>
              <c:strCache>
                <c:ptCount val="1"/>
                <c:pt idx="0">
                  <c:v>Total</c:v>
                </c:pt>
              </c:strCache>
            </c:strRef>
          </c:tx>
          <c:spPr>
            <a:solidFill>
              <a:schemeClr val="accent1"/>
            </a:solidFill>
            <a:ln>
              <a:noFill/>
            </a:ln>
            <a:effectLst/>
            <a:sp3d/>
          </c:spPr>
          <c:invertIfNegative val="0"/>
          <c:cat>
            <c:strRef>
              <c:f>'Categorywise Unit Price'!$A$4:$A$7</c:f>
              <c:strCache>
                <c:ptCount val="3"/>
                <c:pt idx="0">
                  <c:v>Appliances</c:v>
                </c:pt>
                <c:pt idx="1">
                  <c:v>Electronics</c:v>
                </c:pt>
                <c:pt idx="2">
                  <c:v>Furniture</c:v>
                </c:pt>
              </c:strCache>
            </c:strRef>
          </c:cat>
          <c:val>
            <c:numRef>
              <c:f>'Categorywise Unit Price'!$B$4:$B$7</c:f>
              <c:numCache>
                <c:formatCode>General</c:formatCode>
                <c:ptCount val="3"/>
                <c:pt idx="0">
                  <c:v>2859.5699999999974</c:v>
                </c:pt>
                <c:pt idx="1">
                  <c:v>55258.689999999959</c:v>
                </c:pt>
                <c:pt idx="2">
                  <c:v>16049.239999999987</c:v>
                </c:pt>
              </c:numCache>
            </c:numRef>
          </c:val>
          <c:extLst>
            <c:ext xmlns:c16="http://schemas.microsoft.com/office/drawing/2014/chart" uri="{C3380CC4-5D6E-409C-BE32-E72D297353CC}">
              <c16:uniqueId val="{00000000-4440-4991-B6E2-1CB8F0814A95}"/>
            </c:ext>
          </c:extLst>
        </c:ser>
        <c:dLbls>
          <c:showLegendKey val="0"/>
          <c:showVal val="0"/>
          <c:showCatName val="0"/>
          <c:showSerName val="0"/>
          <c:showPercent val="0"/>
          <c:showBubbleSize val="0"/>
        </c:dLbls>
        <c:gapWidth val="150"/>
        <c:shape val="box"/>
        <c:axId val="1945062479"/>
        <c:axId val="1945061519"/>
        <c:axId val="0"/>
      </c:bar3DChart>
      <c:catAx>
        <c:axId val="1945062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61519"/>
        <c:crosses val="autoZero"/>
        <c:auto val="1"/>
        <c:lblAlgn val="ctr"/>
        <c:lblOffset val="100"/>
        <c:noMultiLvlLbl val="0"/>
      </c:catAx>
      <c:valAx>
        <c:axId val="1945061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0624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Dashboard.xlsx]Sales Trend Over Time!PivotTable4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Over Time'!$B$3</c:f>
              <c:strCache>
                <c:ptCount val="1"/>
                <c:pt idx="0">
                  <c:v>Sum of Unit_Price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 Trend Over Time'!$A$4:$A$13</c:f>
              <c:strCache>
                <c:ptCount val="9"/>
                <c:pt idx="0">
                  <c:v>Apr</c:v>
                </c:pt>
                <c:pt idx="1">
                  <c:v>May</c:v>
                </c:pt>
                <c:pt idx="2">
                  <c:v>Jun</c:v>
                </c:pt>
                <c:pt idx="3">
                  <c:v>Jul</c:v>
                </c:pt>
                <c:pt idx="4">
                  <c:v>Aug</c:v>
                </c:pt>
                <c:pt idx="5">
                  <c:v>Sep</c:v>
                </c:pt>
                <c:pt idx="6">
                  <c:v>Oct</c:v>
                </c:pt>
                <c:pt idx="7">
                  <c:v>Nov</c:v>
                </c:pt>
                <c:pt idx="8">
                  <c:v>Dec</c:v>
                </c:pt>
              </c:strCache>
            </c:strRef>
          </c:cat>
          <c:val>
            <c:numRef>
              <c:f>'Sales Trend Over Time'!$B$4:$B$13</c:f>
              <c:numCache>
                <c:formatCode>General</c:formatCode>
                <c:ptCount val="9"/>
                <c:pt idx="0">
                  <c:v>6809.7899999999981</c:v>
                </c:pt>
                <c:pt idx="1">
                  <c:v>4939.8099999999977</c:v>
                </c:pt>
                <c:pt idx="2">
                  <c:v>5139.8099999999986</c:v>
                </c:pt>
                <c:pt idx="3">
                  <c:v>7059.7599999999975</c:v>
                </c:pt>
                <c:pt idx="4">
                  <c:v>4909.8199999999988</c:v>
                </c:pt>
                <c:pt idx="5">
                  <c:v>4959.8099999999986</c:v>
                </c:pt>
                <c:pt idx="6">
                  <c:v>6739.8399999999983</c:v>
                </c:pt>
                <c:pt idx="7">
                  <c:v>3919.829999999999</c:v>
                </c:pt>
                <c:pt idx="8">
                  <c:v>7609.7499999999964</c:v>
                </c:pt>
              </c:numCache>
            </c:numRef>
          </c:val>
          <c:smooth val="0"/>
          <c:extLst>
            <c:ext xmlns:c16="http://schemas.microsoft.com/office/drawing/2014/chart" uri="{C3380CC4-5D6E-409C-BE32-E72D297353CC}">
              <c16:uniqueId val="{00000000-4A82-4DEC-A7A2-AEE1D9C3C638}"/>
            </c:ext>
          </c:extLst>
        </c:ser>
        <c:ser>
          <c:idx val="1"/>
          <c:order val="1"/>
          <c:tx>
            <c:strRef>
              <c:f>'Sales Trend Over Time'!$C$3</c:f>
              <c:strCache>
                <c:ptCount val="1"/>
                <c:pt idx="0">
                  <c:v>Sum of Total_Amount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 Trend Over Time'!$A$4:$A$13</c:f>
              <c:strCache>
                <c:ptCount val="9"/>
                <c:pt idx="0">
                  <c:v>Apr</c:v>
                </c:pt>
                <c:pt idx="1">
                  <c:v>May</c:v>
                </c:pt>
                <c:pt idx="2">
                  <c:v>Jun</c:v>
                </c:pt>
                <c:pt idx="3">
                  <c:v>Jul</c:v>
                </c:pt>
                <c:pt idx="4">
                  <c:v>Aug</c:v>
                </c:pt>
                <c:pt idx="5">
                  <c:v>Sep</c:v>
                </c:pt>
                <c:pt idx="6">
                  <c:v>Oct</c:v>
                </c:pt>
                <c:pt idx="7">
                  <c:v>Nov</c:v>
                </c:pt>
                <c:pt idx="8">
                  <c:v>Dec</c:v>
                </c:pt>
              </c:strCache>
            </c:strRef>
          </c:cat>
          <c:val>
            <c:numRef>
              <c:f>'Sales Trend Over Time'!$C$4:$C$13</c:f>
              <c:numCache>
                <c:formatCode>General</c:formatCode>
                <c:ptCount val="9"/>
                <c:pt idx="0">
                  <c:v>20919.330000000002</c:v>
                </c:pt>
                <c:pt idx="1">
                  <c:v>17039.349999999999</c:v>
                </c:pt>
                <c:pt idx="2">
                  <c:v>19299.45</c:v>
                </c:pt>
                <c:pt idx="3">
                  <c:v>18479.399999999994</c:v>
                </c:pt>
                <c:pt idx="4">
                  <c:v>15759.429999999997</c:v>
                </c:pt>
                <c:pt idx="5">
                  <c:v>12989.509999999997</c:v>
                </c:pt>
                <c:pt idx="6">
                  <c:v>20609.52</c:v>
                </c:pt>
                <c:pt idx="7">
                  <c:v>12309.439999999999</c:v>
                </c:pt>
                <c:pt idx="8">
                  <c:v>23039.3</c:v>
                </c:pt>
              </c:numCache>
            </c:numRef>
          </c:val>
          <c:smooth val="0"/>
          <c:extLst>
            <c:ext xmlns:c16="http://schemas.microsoft.com/office/drawing/2014/chart" uri="{C3380CC4-5D6E-409C-BE32-E72D297353CC}">
              <c16:uniqueId val="{00000001-4A82-4DEC-A7A2-AEE1D9C3C638}"/>
            </c:ext>
          </c:extLst>
        </c:ser>
        <c:dLbls>
          <c:showLegendKey val="0"/>
          <c:showVal val="0"/>
          <c:showCatName val="0"/>
          <c:showSerName val="0"/>
          <c:showPercent val="0"/>
          <c:showBubbleSize val="0"/>
        </c:dLbls>
        <c:marker val="1"/>
        <c:smooth val="0"/>
        <c:axId val="1987353439"/>
        <c:axId val="1987355839"/>
      </c:lineChart>
      <c:catAx>
        <c:axId val="198735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55839"/>
        <c:crosses val="autoZero"/>
        <c:auto val="1"/>
        <c:lblAlgn val="ctr"/>
        <c:lblOffset val="100"/>
        <c:noMultiLvlLbl val="0"/>
      </c:catAx>
      <c:valAx>
        <c:axId val="1987355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35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Dashboard.xlsx]Sub-Category By Unit Price!PivotTable7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'Sub-Category By Unit Price'!$B$3</c:f>
              <c:strCache>
                <c:ptCount val="1"/>
                <c:pt idx="0">
                  <c:v>Total</c:v>
                </c:pt>
              </c:strCache>
            </c:strRef>
          </c:tx>
          <c:spPr>
            <a:solidFill>
              <a:schemeClr val="accent1"/>
            </a:solidFill>
            <a:ln>
              <a:noFill/>
            </a:ln>
            <a:effectLst/>
            <a:sp3d/>
          </c:spPr>
          <c:invertIfNegative val="0"/>
          <c:cat>
            <c:strRef>
              <c:f>'Sub-Category By Unit Price'!$A$4:$A$14</c:f>
              <c:strCache>
                <c:ptCount val="10"/>
                <c:pt idx="0">
                  <c:v>Blender</c:v>
                </c:pt>
                <c:pt idx="1">
                  <c:v>Bookshelf</c:v>
                </c:pt>
                <c:pt idx="2">
                  <c:v>Coffee Maker</c:v>
                </c:pt>
                <c:pt idx="3">
                  <c:v>Desk</c:v>
                </c:pt>
                <c:pt idx="4">
                  <c:v>Headphones</c:v>
                </c:pt>
                <c:pt idx="5">
                  <c:v>Keyboard</c:v>
                </c:pt>
                <c:pt idx="6">
                  <c:v>Laptop</c:v>
                </c:pt>
                <c:pt idx="7">
                  <c:v>Monitor</c:v>
                </c:pt>
                <c:pt idx="8">
                  <c:v>Office Chair</c:v>
                </c:pt>
                <c:pt idx="9">
                  <c:v>Smartphone</c:v>
                </c:pt>
              </c:strCache>
            </c:strRef>
          </c:cat>
          <c:val>
            <c:numRef>
              <c:f>'Sub-Category By Unit Price'!$B$4:$B$14</c:f>
              <c:numCache>
                <c:formatCode>General</c:formatCode>
                <c:ptCount val="10"/>
                <c:pt idx="0">
                  <c:v>1739.71</c:v>
                </c:pt>
                <c:pt idx="1">
                  <c:v>5249.649999999996</c:v>
                </c:pt>
                <c:pt idx="2">
                  <c:v>1119.8599999999999</c:v>
                </c:pt>
                <c:pt idx="3">
                  <c:v>7799.7399999999961</c:v>
                </c:pt>
                <c:pt idx="4">
                  <c:v>2399.84</c:v>
                </c:pt>
                <c:pt idx="5">
                  <c:v>3059.6599999999976</c:v>
                </c:pt>
                <c:pt idx="6">
                  <c:v>21599.760000000006</c:v>
                </c:pt>
                <c:pt idx="7">
                  <c:v>6499.7399999999961</c:v>
                </c:pt>
                <c:pt idx="8">
                  <c:v>2999.8499999999995</c:v>
                </c:pt>
                <c:pt idx="9">
                  <c:v>21699.69000000001</c:v>
                </c:pt>
              </c:numCache>
            </c:numRef>
          </c:val>
          <c:extLst>
            <c:ext xmlns:c16="http://schemas.microsoft.com/office/drawing/2014/chart" uri="{C3380CC4-5D6E-409C-BE32-E72D297353CC}">
              <c16:uniqueId val="{00000000-ECF6-41FD-8A25-F2ED7A9A5BF1}"/>
            </c:ext>
          </c:extLst>
        </c:ser>
        <c:dLbls>
          <c:showLegendKey val="0"/>
          <c:showVal val="0"/>
          <c:showCatName val="0"/>
          <c:showSerName val="0"/>
          <c:showPercent val="0"/>
          <c:showBubbleSize val="0"/>
        </c:dLbls>
        <c:gapWidth val="150"/>
        <c:shape val="box"/>
        <c:axId val="1993362671"/>
        <c:axId val="1993363631"/>
        <c:axId val="0"/>
      </c:bar3DChart>
      <c:catAx>
        <c:axId val="199336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63631"/>
        <c:crosses val="autoZero"/>
        <c:auto val="1"/>
        <c:lblAlgn val="ctr"/>
        <c:lblOffset val="100"/>
        <c:noMultiLvlLbl val="0"/>
      </c:catAx>
      <c:valAx>
        <c:axId val="1993363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36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Intelligence Dashboard.xlsx]Sales By 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Region'!$A$4:$A$9</c:f>
              <c:strCache>
                <c:ptCount val="5"/>
                <c:pt idx="0">
                  <c:v>Central</c:v>
                </c:pt>
                <c:pt idx="1">
                  <c:v>East</c:v>
                </c:pt>
                <c:pt idx="2">
                  <c:v>North</c:v>
                </c:pt>
                <c:pt idx="3">
                  <c:v>South</c:v>
                </c:pt>
                <c:pt idx="4">
                  <c:v>West</c:v>
                </c:pt>
              </c:strCache>
            </c:strRef>
          </c:cat>
          <c:val>
            <c:numRef>
              <c:f>'Sales By Region'!$B$4:$B$9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04F5-4C41-8B0C-C00F77B418D0}"/>
            </c:ext>
          </c:extLst>
        </c:ser>
        <c:dLbls>
          <c:showLegendKey val="0"/>
          <c:showVal val="0"/>
          <c:showCatName val="0"/>
          <c:showSerName val="0"/>
          <c:showPercent val="0"/>
          <c:showBubbleSize val="0"/>
        </c:dLbls>
        <c:gapWidth val="219"/>
        <c:overlap val="-27"/>
        <c:axId val="1095718367"/>
        <c:axId val="1095716927"/>
      </c:barChart>
      <c:catAx>
        <c:axId val="109571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16927"/>
        <c:crosses val="autoZero"/>
        <c:auto val="1"/>
        <c:lblAlgn val="ctr"/>
        <c:lblOffset val="100"/>
        <c:noMultiLvlLbl val="0"/>
      </c:catAx>
      <c:valAx>
        <c:axId val="109571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1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68580</xdr:rowOff>
    </xdr:from>
    <xdr:to>
      <xdr:col>22</xdr:col>
      <xdr:colOff>525780</xdr:colOff>
      <xdr:row>2</xdr:row>
      <xdr:rowOff>144780</xdr:rowOff>
    </xdr:to>
    <xdr:sp macro="" textlink="">
      <xdr:nvSpPr>
        <xdr:cNvPr id="2" name="Rectangle: Rounded Corners 1">
          <a:extLst>
            <a:ext uri="{FF2B5EF4-FFF2-40B4-BE49-F238E27FC236}">
              <a16:creationId xmlns:a16="http://schemas.microsoft.com/office/drawing/2014/main" id="{D3F1DDAF-0FD1-5F95-2DBE-B05147F0DA28}"/>
            </a:ext>
          </a:extLst>
        </xdr:cNvPr>
        <xdr:cNvSpPr/>
      </xdr:nvSpPr>
      <xdr:spPr>
        <a:xfrm>
          <a:off x="45720" y="68580"/>
          <a:ext cx="13891260" cy="441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haroni" panose="02010803020104030203" pitchFamily="2" charset="-79"/>
              <a:cs typeface="Aharoni" panose="02010803020104030203" pitchFamily="2" charset="-79"/>
            </a:rPr>
            <a:t>Sales Performance Dashboard</a:t>
          </a:r>
        </a:p>
      </xdr:txBody>
    </xdr:sp>
    <xdr:clientData/>
  </xdr:twoCellAnchor>
  <xdr:twoCellAnchor editAs="oneCell">
    <xdr:from>
      <xdr:col>0</xdr:col>
      <xdr:colOff>83820</xdr:colOff>
      <xdr:row>3</xdr:row>
      <xdr:rowOff>30480</xdr:rowOff>
    </xdr:from>
    <xdr:to>
      <xdr:col>3</xdr:col>
      <xdr:colOff>15240</xdr:colOff>
      <xdr:row>10</xdr:row>
      <xdr:rowOff>175260</xdr:rowOff>
    </xdr:to>
    <mc:AlternateContent xmlns:mc="http://schemas.openxmlformats.org/markup-compatibility/2006" xmlns:tsle="http://schemas.microsoft.com/office/drawing/2012/timeslicer">
      <mc:Choice Requires="tsle">
        <xdr:graphicFrame macro="">
          <xdr:nvGraphicFramePr>
            <xdr:cNvPr id="3" name="Date 1">
              <a:extLst>
                <a:ext uri="{FF2B5EF4-FFF2-40B4-BE49-F238E27FC236}">
                  <a16:creationId xmlns:a16="http://schemas.microsoft.com/office/drawing/2014/main" id="{322CB0A9-A133-46ED-8340-52E888E68ED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83820" y="579120"/>
              <a:ext cx="1760220" cy="14249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220980</xdr:colOff>
      <xdr:row>4</xdr:row>
      <xdr:rowOff>7620</xdr:rowOff>
    </xdr:from>
    <xdr:to>
      <xdr:col>6</xdr:col>
      <xdr:colOff>160020</xdr:colOff>
      <xdr:row>9</xdr:row>
      <xdr:rowOff>68580</xdr:rowOff>
    </xdr:to>
    <xdr:sp macro="" textlink="">
      <xdr:nvSpPr>
        <xdr:cNvPr id="4" name="Rectangle: Rounded Corners 3">
          <a:extLst>
            <a:ext uri="{FF2B5EF4-FFF2-40B4-BE49-F238E27FC236}">
              <a16:creationId xmlns:a16="http://schemas.microsoft.com/office/drawing/2014/main" id="{B9EE346D-E1C0-95A0-B095-D1F7189CFCBC}"/>
            </a:ext>
          </a:extLst>
        </xdr:cNvPr>
        <xdr:cNvSpPr/>
      </xdr:nvSpPr>
      <xdr:spPr>
        <a:xfrm>
          <a:off x="2049780" y="739140"/>
          <a:ext cx="1767840" cy="9753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Total</a:t>
          </a:r>
          <a:r>
            <a:rPr lang="en-IN" sz="1600" b="1" baseline="0">
              <a:solidFill>
                <a:schemeClr val="dk1"/>
              </a:solidFill>
              <a:effectLst/>
              <a:latin typeface="+mn-lt"/>
              <a:ea typeface="+mn-ea"/>
              <a:cs typeface="+mn-cs"/>
            </a:rPr>
            <a:t> Sales</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accent1"/>
              </a:solidFill>
              <a:effectLst/>
              <a:latin typeface="+mn-lt"/>
              <a:ea typeface="+mn-ea"/>
              <a:cs typeface="+mn-cs"/>
            </a:rPr>
            <a:t>229192.47</a:t>
          </a:r>
          <a:endParaRPr lang="en-US" sz="3200">
            <a:solidFill>
              <a:schemeClr val="accent1"/>
            </a:solidFill>
            <a:effectLst/>
          </a:endParaRPr>
        </a:p>
      </xdr:txBody>
    </xdr:sp>
    <xdr:clientData/>
  </xdr:twoCellAnchor>
  <xdr:twoCellAnchor>
    <xdr:from>
      <xdr:col>6</xdr:col>
      <xdr:colOff>426720</xdr:colOff>
      <xdr:row>4</xdr:row>
      <xdr:rowOff>38100</xdr:rowOff>
    </xdr:from>
    <xdr:to>
      <xdr:col>9</xdr:col>
      <xdr:colOff>365760</xdr:colOff>
      <xdr:row>9</xdr:row>
      <xdr:rowOff>83820</xdr:rowOff>
    </xdr:to>
    <xdr:sp macro="" textlink="">
      <xdr:nvSpPr>
        <xdr:cNvPr id="6" name="Rectangle: Rounded Corners 5">
          <a:extLst>
            <a:ext uri="{FF2B5EF4-FFF2-40B4-BE49-F238E27FC236}">
              <a16:creationId xmlns:a16="http://schemas.microsoft.com/office/drawing/2014/main" id="{BCBE8DA3-44B3-4678-BA29-2BBE3C0A0494}"/>
            </a:ext>
          </a:extLst>
        </xdr:cNvPr>
        <xdr:cNvSpPr/>
      </xdr:nvSpPr>
      <xdr:spPr>
        <a:xfrm>
          <a:off x="4084320" y="769620"/>
          <a:ext cx="1767840" cy="9601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a:solidFill>
                <a:schemeClr val="dk1"/>
              </a:solidFill>
              <a:effectLst/>
              <a:latin typeface="+mn-lt"/>
              <a:ea typeface="+mn-ea"/>
              <a:cs typeface="+mn-cs"/>
            </a:rPr>
            <a:t>Total</a:t>
          </a:r>
          <a:r>
            <a:rPr lang="en-IN" sz="1600" b="1" baseline="0">
              <a:solidFill>
                <a:schemeClr val="dk1"/>
              </a:solidFill>
              <a:effectLst/>
              <a:latin typeface="+mn-lt"/>
              <a:ea typeface="+mn-ea"/>
              <a:cs typeface="+mn-cs"/>
            </a:rPr>
            <a:t> Order</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1"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solidFill>
                <a:schemeClr val="accent1"/>
              </a:solidFill>
              <a:effectLst/>
              <a:latin typeface="+mn-lt"/>
              <a:ea typeface="+mn-ea"/>
              <a:cs typeface="+mn-cs"/>
            </a:rPr>
            <a:t>250</a:t>
          </a:r>
          <a:endParaRPr lang="en-US" sz="2000">
            <a:solidFill>
              <a:schemeClr val="accent1"/>
            </a:solidFill>
            <a:effectLst/>
          </a:endParaRPr>
        </a:p>
      </xdr:txBody>
    </xdr:sp>
    <xdr:clientData/>
  </xdr:twoCellAnchor>
  <xdr:twoCellAnchor>
    <xdr:from>
      <xdr:col>10</xdr:col>
      <xdr:colOff>160020</xdr:colOff>
      <xdr:row>4</xdr:row>
      <xdr:rowOff>30480</xdr:rowOff>
    </xdr:from>
    <xdr:to>
      <xdr:col>13</xdr:col>
      <xdr:colOff>99060</xdr:colOff>
      <xdr:row>9</xdr:row>
      <xdr:rowOff>91440</xdr:rowOff>
    </xdr:to>
    <xdr:sp macro="" textlink="">
      <xdr:nvSpPr>
        <xdr:cNvPr id="7" name="Rectangle: Rounded Corners 6">
          <a:extLst>
            <a:ext uri="{FF2B5EF4-FFF2-40B4-BE49-F238E27FC236}">
              <a16:creationId xmlns:a16="http://schemas.microsoft.com/office/drawing/2014/main" id="{DE4C1628-B48E-4F3B-917A-50C48C742D0A}"/>
            </a:ext>
          </a:extLst>
        </xdr:cNvPr>
        <xdr:cNvSpPr/>
      </xdr:nvSpPr>
      <xdr:spPr>
        <a:xfrm>
          <a:off x="6256020" y="762000"/>
          <a:ext cx="1767840" cy="9753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b="1" baseline="0">
              <a:solidFill>
                <a:schemeClr val="dk1"/>
              </a:solidFill>
              <a:effectLst/>
              <a:latin typeface="+mn-lt"/>
              <a:ea typeface="+mn-ea"/>
              <a:cs typeface="+mn-cs"/>
            </a:rPr>
            <a:t>Avg. Order Value</a:t>
          </a:r>
          <a:endParaRPr lang="en-US" sz="1600">
            <a:effectLst/>
          </a:endParaRPr>
        </a:p>
        <a:p>
          <a:pPr algn="ctr"/>
          <a:endParaRPr lang="en-US" sz="1100"/>
        </a:p>
        <a:p>
          <a:pPr algn="ctr"/>
          <a:r>
            <a:rPr lang="en-US" sz="2000" b="1">
              <a:solidFill>
                <a:schemeClr val="accent1"/>
              </a:solidFill>
            </a:rPr>
            <a:t>916.76</a:t>
          </a:r>
        </a:p>
      </xdr:txBody>
    </xdr:sp>
    <xdr:clientData/>
  </xdr:twoCellAnchor>
  <xdr:twoCellAnchor>
    <xdr:from>
      <xdr:col>17</xdr:col>
      <xdr:colOff>228600</xdr:colOff>
      <xdr:row>4</xdr:row>
      <xdr:rowOff>53340</xdr:rowOff>
    </xdr:from>
    <xdr:to>
      <xdr:col>20</xdr:col>
      <xdr:colOff>167640</xdr:colOff>
      <xdr:row>9</xdr:row>
      <xdr:rowOff>83820</xdr:rowOff>
    </xdr:to>
    <xdr:sp macro="" textlink="">
      <xdr:nvSpPr>
        <xdr:cNvPr id="8" name="Rectangle: Rounded Corners 7">
          <a:extLst>
            <a:ext uri="{FF2B5EF4-FFF2-40B4-BE49-F238E27FC236}">
              <a16:creationId xmlns:a16="http://schemas.microsoft.com/office/drawing/2014/main" id="{84B655E8-4C0A-4287-A597-3A7343A751F9}"/>
            </a:ext>
          </a:extLst>
        </xdr:cNvPr>
        <xdr:cNvSpPr/>
      </xdr:nvSpPr>
      <xdr:spPr>
        <a:xfrm>
          <a:off x="10591800" y="784860"/>
          <a:ext cx="1767840" cy="9448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600" b="1"/>
            <a:t>Category</a:t>
          </a:r>
        </a:p>
        <a:p>
          <a:pPr algn="ctr"/>
          <a:endParaRPr lang="en-US" sz="1100" b="1"/>
        </a:p>
        <a:p>
          <a:pPr algn="ctr"/>
          <a:r>
            <a:rPr lang="en-US" sz="2000" b="1">
              <a:solidFill>
                <a:schemeClr val="accent1"/>
              </a:solidFill>
            </a:rPr>
            <a:t>3</a:t>
          </a:r>
        </a:p>
      </xdr:txBody>
    </xdr:sp>
    <xdr:clientData/>
  </xdr:twoCellAnchor>
  <xdr:twoCellAnchor>
    <xdr:from>
      <xdr:col>13</xdr:col>
      <xdr:colOff>487680</xdr:colOff>
      <xdr:row>4</xdr:row>
      <xdr:rowOff>30480</xdr:rowOff>
    </xdr:from>
    <xdr:to>
      <xdr:col>16</xdr:col>
      <xdr:colOff>426720</xdr:colOff>
      <xdr:row>9</xdr:row>
      <xdr:rowOff>68580</xdr:rowOff>
    </xdr:to>
    <xdr:sp macro="" textlink="">
      <xdr:nvSpPr>
        <xdr:cNvPr id="9" name="Rectangle: Rounded Corners 8">
          <a:extLst>
            <a:ext uri="{FF2B5EF4-FFF2-40B4-BE49-F238E27FC236}">
              <a16:creationId xmlns:a16="http://schemas.microsoft.com/office/drawing/2014/main" id="{54A7C45D-E813-4D0C-B630-BF08C8464CCF}"/>
            </a:ext>
          </a:extLst>
        </xdr:cNvPr>
        <xdr:cNvSpPr/>
      </xdr:nvSpPr>
      <xdr:spPr>
        <a:xfrm>
          <a:off x="8412480" y="762000"/>
          <a:ext cx="1767840" cy="9525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600" b="1"/>
            <a:t>Total Quantity</a:t>
          </a:r>
        </a:p>
        <a:p>
          <a:pPr algn="ctr"/>
          <a:endParaRPr lang="en-US" sz="1100" b="1"/>
        </a:p>
        <a:p>
          <a:pPr algn="ctr"/>
          <a:r>
            <a:rPr lang="en-US" sz="2000" b="1">
              <a:solidFill>
                <a:schemeClr val="accent1"/>
              </a:solidFill>
            </a:rPr>
            <a:t>753</a:t>
          </a:r>
        </a:p>
      </xdr:txBody>
    </xdr:sp>
    <xdr:clientData/>
  </xdr:twoCellAnchor>
  <xdr:twoCellAnchor>
    <xdr:from>
      <xdr:col>3</xdr:col>
      <xdr:colOff>76200</xdr:colOff>
      <xdr:row>9</xdr:row>
      <xdr:rowOff>152400</xdr:rowOff>
    </xdr:from>
    <xdr:to>
      <xdr:col>10</xdr:col>
      <xdr:colOff>22860</xdr:colOff>
      <xdr:row>23</xdr:row>
      <xdr:rowOff>129540</xdr:rowOff>
    </xdr:to>
    <xdr:graphicFrame macro="">
      <xdr:nvGraphicFramePr>
        <xdr:cNvPr id="10" name="Chart 9">
          <a:extLst>
            <a:ext uri="{FF2B5EF4-FFF2-40B4-BE49-F238E27FC236}">
              <a16:creationId xmlns:a16="http://schemas.microsoft.com/office/drawing/2014/main" id="{51970639-314F-47A4-B603-BFE589EF8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152400</xdr:colOff>
      <xdr:row>9</xdr:row>
      <xdr:rowOff>144780</xdr:rowOff>
    </xdr:from>
    <xdr:to>
      <xdr:col>16</xdr:col>
      <xdr:colOff>533400</xdr:colOff>
      <xdr:row>23</xdr:row>
      <xdr:rowOff>114300</xdr:rowOff>
    </xdr:to>
    <xdr:graphicFrame macro="">
      <xdr:nvGraphicFramePr>
        <xdr:cNvPr id="11" name="Chart 10">
          <a:extLst>
            <a:ext uri="{FF2B5EF4-FFF2-40B4-BE49-F238E27FC236}">
              <a16:creationId xmlns:a16="http://schemas.microsoft.com/office/drawing/2014/main" id="{0551EDFF-4AEA-46B5-8A85-701A6448DB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xdr:colOff>
      <xdr:row>9</xdr:row>
      <xdr:rowOff>152400</xdr:rowOff>
    </xdr:from>
    <xdr:to>
      <xdr:col>23</xdr:col>
      <xdr:colOff>60960</xdr:colOff>
      <xdr:row>23</xdr:row>
      <xdr:rowOff>129540</xdr:rowOff>
    </xdr:to>
    <xdr:graphicFrame macro="">
      <xdr:nvGraphicFramePr>
        <xdr:cNvPr id="12" name="Chart 11">
          <a:extLst>
            <a:ext uri="{FF2B5EF4-FFF2-40B4-BE49-F238E27FC236}">
              <a16:creationId xmlns:a16="http://schemas.microsoft.com/office/drawing/2014/main" id="{593090D2-0112-465E-B5A9-9ACC7B7EC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45720</xdr:colOff>
      <xdr:row>24</xdr:row>
      <xdr:rowOff>106680</xdr:rowOff>
    </xdr:from>
    <xdr:to>
      <xdr:col>23</xdr:col>
      <xdr:colOff>68580</xdr:colOff>
      <xdr:row>37</xdr:row>
      <xdr:rowOff>7620</xdr:rowOff>
    </xdr:to>
    <xdr:graphicFrame macro="">
      <xdr:nvGraphicFramePr>
        <xdr:cNvPr id="13" name="Chart 12">
          <a:extLst>
            <a:ext uri="{FF2B5EF4-FFF2-40B4-BE49-F238E27FC236}">
              <a16:creationId xmlns:a16="http://schemas.microsoft.com/office/drawing/2014/main" id="{8801F96B-E6A0-4BB4-BC43-E9CE4672C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53340</xdr:colOff>
      <xdr:row>23</xdr:row>
      <xdr:rowOff>175260</xdr:rowOff>
    </xdr:from>
    <xdr:to>
      <xdr:col>10</xdr:col>
      <xdr:colOff>45720</xdr:colOff>
      <xdr:row>38</xdr:row>
      <xdr:rowOff>114300</xdr:rowOff>
    </xdr:to>
    <xdr:graphicFrame macro="">
      <xdr:nvGraphicFramePr>
        <xdr:cNvPr id="14" name="Chart 13">
          <a:extLst>
            <a:ext uri="{FF2B5EF4-FFF2-40B4-BE49-F238E27FC236}">
              <a16:creationId xmlns:a16="http://schemas.microsoft.com/office/drawing/2014/main" id="{18ABE110-41D9-4703-B773-1E52A1A60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22860</xdr:colOff>
      <xdr:row>11</xdr:row>
      <xdr:rowOff>60960</xdr:rowOff>
    </xdr:from>
    <xdr:to>
      <xdr:col>3</xdr:col>
      <xdr:colOff>22860</xdr:colOff>
      <xdr:row>22</xdr:row>
      <xdr:rowOff>22860</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389A000B-1C6B-411A-A62A-3A8740F9153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2860" y="2072640"/>
              <a:ext cx="182880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114300</xdr:colOff>
      <xdr:row>24</xdr:row>
      <xdr:rowOff>0</xdr:rowOff>
    </xdr:from>
    <xdr:to>
      <xdr:col>16</xdr:col>
      <xdr:colOff>556260</xdr:colOff>
      <xdr:row>38</xdr:row>
      <xdr:rowOff>99060</xdr:rowOff>
    </xdr:to>
    <xdr:graphicFrame macro="">
      <xdr:nvGraphicFramePr>
        <xdr:cNvPr id="16" name="Chart 15">
          <a:extLst>
            <a:ext uri="{FF2B5EF4-FFF2-40B4-BE49-F238E27FC236}">
              <a16:creationId xmlns:a16="http://schemas.microsoft.com/office/drawing/2014/main" id="{891C1F40-2480-4487-A430-D9DE1FA9F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15240</xdr:colOff>
      <xdr:row>22</xdr:row>
      <xdr:rowOff>68580</xdr:rowOff>
    </xdr:from>
    <xdr:to>
      <xdr:col>3</xdr:col>
      <xdr:colOff>15240</xdr:colOff>
      <xdr:row>35</xdr:row>
      <xdr:rowOff>158115</xdr:rowOff>
    </xdr:to>
    <mc:AlternateContent xmlns:mc="http://schemas.openxmlformats.org/markup-compatibility/2006" xmlns:a14="http://schemas.microsoft.com/office/drawing/2010/main">
      <mc:Choice Requires="a14">
        <xdr:graphicFrame macro="">
          <xdr:nvGraphicFramePr>
            <xdr:cNvPr id="17" name="Product_Name 1">
              <a:extLst>
                <a:ext uri="{FF2B5EF4-FFF2-40B4-BE49-F238E27FC236}">
                  <a16:creationId xmlns:a16="http://schemas.microsoft.com/office/drawing/2014/main" id="{D393C332-0D8E-4981-AEEB-601557CA7375}"/>
                </a:ext>
              </a:extLst>
            </xdr:cNvPr>
            <xdr:cNvGraphicFramePr/>
          </xdr:nvGraphicFramePr>
          <xdr:xfrm>
            <a:off x="0" y="0"/>
            <a:ext cx="0" cy="0"/>
          </xdr:xfrm>
          <a:graphic>
            <a:graphicData uri="http://schemas.microsoft.com/office/drawing/2010/slicer">
              <sle:slicer xmlns:sle="http://schemas.microsoft.com/office/drawing/2010/slicer" name="Product_Name 1"/>
            </a:graphicData>
          </a:graphic>
        </xdr:graphicFrame>
      </mc:Choice>
      <mc:Fallback xmlns="">
        <xdr:sp macro="" textlink="">
          <xdr:nvSpPr>
            <xdr:cNvPr id="0" name=""/>
            <xdr:cNvSpPr>
              <a:spLocks noTextEdit="1"/>
            </xdr:cNvSpPr>
          </xdr:nvSpPr>
          <xdr:spPr>
            <a:xfrm>
              <a:off x="15240" y="40919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1</xdr:row>
      <xdr:rowOff>118110</xdr:rowOff>
    </xdr:from>
    <xdr:to>
      <xdr:col>10</xdr:col>
      <xdr:colOff>190500</xdr:colOff>
      <xdr:row>16</xdr:row>
      <xdr:rowOff>118110</xdr:rowOff>
    </xdr:to>
    <xdr:graphicFrame macro="">
      <xdr:nvGraphicFramePr>
        <xdr:cNvPr id="2" name="Chart 1">
          <a:extLst>
            <a:ext uri="{FF2B5EF4-FFF2-40B4-BE49-F238E27FC236}">
              <a16:creationId xmlns:a16="http://schemas.microsoft.com/office/drawing/2014/main" id="{430CAE6A-59B2-D256-86AE-3C1F82A4E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381000</xdr:colOff>
      <xdr:row>2</xdr:row>
      <xdr:rowOff>11430</xdr:rowOff>
    </xdr:from>
    <xdr:to>
      <xdr:col>10</xdr:col>
      <xdr:colOff>76200</xdr:colOff>
      <xdr:row>17</xdr:row>
      <xdr:rowOff>11430</xdr:rowOff>
    </xdr:to>
    <xdr:graphicFrame macro="">
      <xdr:nvGraphicFramePr>
        <xdr:cNvPr id="2" name="Chart 1">
          <a:extLst>
            <a:ext uri="{FF2B5EF4-FFF2-40B4-BE49-F238E27FC236}">
              <a16:creationId xmlns:a16="http://schemas.microsoft.com/office/drawing/2014/main" id="{30B42E02-C402-0311-59C4-D1A9D84F1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1</xdr:row>
      <xdr:rowOff>60960</xdr:rowOff>
    </xdr:from>
    <xdr:to>
      <xdr:col>10</xdr:col>
      <xdr:colOff>312420</xdr:colOff>
      <xdr:row>16</xdr:row>
      <xdr:rowOff>60960</xdr:rowOff>
    </xdr:to>
    <xdr:graphicFrame macro="">
      <xdr:nvGraphicFramePr>
        <xdr:cNvPr id="2" name="Chart 1">
          <a:extLst>
            <a:ext uri="{FF2B5EF4-FFF2-40B4-BE49-F238E27FC236}">
              <a16:creationId xmlns:a16="http://schemas.microsoft.com/office/drawing/2014/main" id="{32B7DCCB-B397-B9E4-F7DD-2489BFC84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434340</xdr:colOff>
      <xdr:row>1</xdr:row>
      <xdr:rowOff>114300</xdr:rowOff>
    </xdr:from>
    <xdr:to>
      <xdr:col>11</xdr:col>
      <xdr:colOff>129540</xdr:colOff>
      <xdr:row>16</xdr:row>
      <xdr:rowOff>114300</xdr:rowOff>
    </xdr:to>
    <xdr:graphicFrame macro="">
      <xdr:nvGraphicFramePr>
        <xdr:cNvPr id="2" name="Chart 1">
          <a:extLst>
            <a:ext uri="{FF2B5EF4-FFF2-40B4-BE49-F238E27FC236}">
              <a16:creationId xmlns:a16="http://schemas.microsoft.com/office/drawing/2014/main" id="{8014C9CC-CC52-DD6B-556A-E1BADBBA95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281940</xdr:colOff>
      <xdr:row>17</xdr:row>
      <xdr:rowOff>106680</xdr:rowOff>
    </xdr:from>
    <xdr:to>
      <xdr:col>2</xdr:col>
      <xdr:colOff>259080</xdr:colOff>
      <xdr:row>25</xdr:row>
      <xdr:rowOff>38100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B8FB45BE-C048-F5CE-2B9F-51CAE7A1574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81940" y="3215640"/>
              <a:ext cx="1950720" cy="1394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457200</xdr:colOff>
      <xdr:row>1</xdr:row>
      <xdr:rowOff>144780</xdr:rowOff>
    </xdr:from>
    <xdr:to>
      <xdr:col>10</xdr:col>
      <xdr:colOff>152400</xdr:colOff>
      <xdr:row>16</xdr:row>
      <xdr:rowOff>144780</xdr:rowOff>
    </xdr:to>
    <xdr:graphicFrame macro="">
      <xdr:nvGraphicFramePr>
        <xdr:cNvPr id="2" name="Chart 1">
          <a:extLst>
            <a:ext uri="{FF2B5EF4-FFF2-40B4-BE49-F238E27FC236}">
              <a16:creationId xmlns:a16="http://schemas.microsoft.com/office/drawing/2014/main" id="{5BB121F8-C9D7-ECC3-7DFC-A0B358194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14</xdr:row>
      <xdr:rowOff>144781</xdr:rowOff>
    </xdr:from>
    <xdr:to>
      <xdr:col>1</xdr:col>
      <xdr:colOff>1043940</xdr:colOff>
      <xdr:row>25</xdr:row>
      <xdr:rowOff>106681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43F4698-7435-1A6F-3FD8-3F21E37444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0" y="2705101"/>
              <a:ext cx="1828800" cy="1973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381000</xdr:colOff>
      <xdr:row>1</xdr:row>
      <xdr:rowOff>11430</xdr:rowOff>
    </xdr:from>
    <xdr:to>
      <xdr:col>10</xdr:col>
      <xdr:colOff>76200</xdr:colOff>
      <xdr:row>16</xdr:row>
      <xdr:rowOff>11430</xdr:rowOff>
    </xdr:to>
    <xdr:graphicFrame macro="">
      <xdr:nvGraphicFramePr>
        <xdr:cNvPr id="2" name="Chart 1">
          <a:extLst>
            <a:ext uri="{FF2B5EF4-FFF2-40B4-BE49-F238E27FC236}">
              <a16:creationId xmlns:a16="http://schemas.microsoft.com/office/drawing/2014/main" id="{7898D8D0-8D9A-4F79-2234-C71BB1E0C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228600</xdr:colOff>
      <xdr:row>10</xdr:row>
      <xdr:rowOff>45720</xdr:rowOff>
    </xdr:from>
    <xdr:to>
      <xdr:col>1</xdr:col>
      <xdr:colOff>1196340</xdr:colOff>
      <xdr:row>23</xdr:row>
      <xdr:rowOff>135255</xdr:rowOff>
    </xdr:to>
    <mc:AlternateContent xmlns:mc="http://schemas.openxmlformats.org/markup-compatibility/2006" xmlns:a14="http://schemas.microsoft.com/office/drawing/2010/main">
      <mc:Choice Requires="a14">
        <xdr:graphicFrame macro="">
          <xdr:nvGraphicFramePr>
            <xdr:cNvPr id="5" name="Product_Name">
              <a:extLst>
                <a:ext uri="{FF2B5EF4-FFF2-40B4-BE49-F238E27FC236}">
                  <a16:creationId xmlns:a16="http://schemas.microsoft.com/office/drawing/2014/main" id="{DBF8CAB0-EEB6-E853-80BE-151B0CFEBF12}"/>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228600" y="18745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46.977974884256" createdVersion="8" refreshedVersion="8" minRefreshableVersion="3" recordCount="250" xr:uid="{3B57784F-FA18-40B1-A343-5CAE80710BB0}">
  <cacheSource type="worksheet">
    <worksheetSource name="Table1"/>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4/11/2024"/>
          <s v="Jan"/>
          <s v="Feb"/>
          <s v="Mar"/>
          <s v="Apr"/>
          <s v="May"/>
          <s v="Jun"/>
          <s v="Jul"/>
          <s v="Aug"/>
          <s v="Sep"/>
          <s v="Oct"/>
          <s v="Nov"/>
          <s v="Dec"/>
          <s v="&gt;4/12/2025"/>
        </groupItems>
      </fieldGroup>
    </cacheField>
    <cacheField name="Quarters (Date)" numFmtId="0" databaseField="0">
      <fieldGroup base="1">
        <rangePr groupBy="quarters" startDate="2024-04-11T00:00:00" endDate="2025-04-12T00:00:00"/>
        <groupItems count="6">
          <s v="&lt;4/11/2024"/>
          <s v="Qtr1"/>
          <s v="Qtr2"/>
          <s v="Qtr3"/>
          <s v="Qtr4"/>
          <s v="&gt;4/12/2025"/>
        </groupItems>
      </fieldGroup>
    </cacheField>
    <cacheField name="Years (Date)" numFmtId="0" databaseField="0">
      <fieldGroup base="1">
        <rangePr groupBy="years" startDate="2024-04-11T00:00:00" endDate="2025-04-12T00:00:00"/>
        <groupItems count="4">
          <s v="&lt;4/11/2024"/>
          <s v="2024"/>
          <s v="2025"/>
          <s v="&gt;4/12/2025"/>
        </groupItems>
      </fieldGroup>
    </cacheField>
  </cacheFields>
  <extLst>
    <ext xmlns:x14="http://schemas.microsoft.com/office/spreadsheetml/2009/9/main" uri="{725AE2AE-9491-48be-B2B4-4EB974FC3084}">
      <x14:pivotCacheDefinition pivotCacheId="11900023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x v="0"/>
    <x v="0"/>
    <x v="0"/>
    <d v="2021-08-17T00:00:00"/>
    <n v="749.97"/>
  </r>
  <r>
    <s v="TRX0023"/>
    <x v="1"/>
    <s v="CUST013"/>
    <s v="Joseph Jackson"/>
    <s v="P009"/>
    <x v="0"/>
    <x v="0"/>
    <n v="3"/>
    <n v="249.99"/>
    <x v="1"/>
    <x v="0"/>
    <x v="1"/>
    <d v="2022-01-14T00:00:00"/>
    <n v="749.97"/>
  </r>
  <r>
    <s v="TRX0139"/>
    <x v="2"/>
    <s v="CUST021"/>
    <s v="Kevin Scott"/>
    <s v="P005"/>
    <x v="1"/>
    <x v="1"/>
    <n v="3"/>
    <n v="59.99"/>
    <x v="2"/>
    <x v="1"/>
    <x v="2"/>
    <d v="2023-12-02T00:00:00"/>
    <n v="179.97"/>
  </r>
  <r>
    <s v="TRX0043"/>
    <x v="3"/>
    <s v="CUST046"/>
    <s v="Kathleen Bennett"/>
    <s v="P005"/>
    <x v="1"/>
    <x v="1"/>
    <n v="3"/>
    <n v="59.99"/>
    <x v="0"/>
    <x v="2"/>
    <x v="1"/>
    <d v="2023-07-07T00:00:00"/>
    <n v="179.97"/>
  </r>
  <r>
    <s v="TRX0212"/>
    <x v="3"/>
    <s v="CUST003"/>
    <s v="Michael Brown"/>
    <s v="P008"/>
    <x v="2"/>
    <x v="2"/>
    <n v="5"/>
    <n v="149.99"/>
    <x v="1"/>
    <x v="2"/>
    <x v="1"/>
    <d v="2024-01-04T00:00:00"/>
    <n v="749.95"/>
  </r>
  <r>
    <s v="TRX0092"/>
    <x v="4"/>
    <s v="CUST024"/>
    <s v="Dorothy Nelson"/>
    <s v="P005"/>
    <x v="1"/>
    <x v="1"/>
    <n v="2"/>
    <n v="59.99"/>
    <x v="0"/>
    <x v="3"/>
    <x v="2"/>
    <d v="2022-07-04T00:00:00"/>
    <n v="119.98"/>
  </r>
  <r>
    <s v="TRX0193"/>
    <x v="4"/>
    <s v="CUST024"/>
    <s v="Dorothy Nelson"/>
    <s v="P003"/>
    <x v="3"/>
    <x v="0"/>
    <n v="5"/>
    <n v="149.99"/>
    <x v="1"/>
    <x v="0"/>
    <x v="2"/>
    <d v="2021-08-10T00:00:00"/>
    <n v="749.95"/>
  </r>
  <r>
    <s v="TRX0240"/>
    <x v="4"/>
    <s v="CUST017"/>
    <s v="Charles Allen"/>
    <s v="P005"/>
    <x v="1"/>
    <x v="1"/>
    <n v="3"/>
    <n v="59.99"/>
    <x v="3"/>
    <x v="1"/>
    <x v="0"/>
    <d v="2023-03-22T00:00:00"/>
    <n v="179.97"/>
  </r>
  <r>
    <s v="TRX0135"/>
    <x v="5"/>
    <s v="CUST009"/>
    <s v="Robert Thomas"/>
    <s v="P001"/>
    <x v="4"/>
    <x v="0"/>
    <n v="3"/>
    <n v="899.99"/>
    <x v="2"/>
    <x v="4"/>
    <x v="2"/>
    <d v="2024-01-08T00:00:00"/>
    <n v="2699.97"/>
  </r>
  <r>
    <s v="TRX0185"/>
    <x v="6"/>
    <s v="CUST026"/>
    <s v="Karen Hill"/>
    <s v="P005"/>
    <x v="1"/>
    <x v="1"/>
    <n v="3"/>
    <n v="59.99"/>
    <x v="0"/>
    <x v="3"/>
    <x v="1"/>
    <d v="2023-10-08T00:00:00"/>
    <n v="179.97"/>
  </r>
  <r>
    <s v="TRX0138"/>
    <x v="6"/>
    <s v="CUST022"/>
    <s v="Susan Green"/>
    <s v="P008"/>
    <x v="2"/>
    <x v="2"/>
    <n v="1"/>
    <n v="149.99"/>
    <x v="1"/>
    <x v="3"/>
    <x v="2"/>
    <d v="2023-06-26T00:00:00"/>
    <n v="149.99"/>
  </r>
  <r>
    <s v="TRX0209"/>
    <x v="6"/>
    <s v="CUST046"/>
    <s v="Kathleen Bennett"/>
    <s v="P008"/>
    <x v="2"/>
    <x v="2"/>
    <n v="5"/>
    <n v="149.99"/>
    <x v="3"/>
    <x v="2"/>
    <x v="0"/>
    <d v="2022-09-26T00:00:00"/>
    <n v="749.95"/>
  </r>
  <r>
    <s v="TRX0246"/>
    <x v="6"/>
    <s v="CUST041"/>
    <s v="Peter Richardson"/>
    <s v="P008"/>
    <x v="2"/>
    <x v="2"/>
    <n v="3"/>
    <n v="149.99"/>
    <x v="0"/>
    <x v="2"/>
    <x v="1"/>
    <d v="2022-09-02T00:00:00"/>
    <n v="449.97"/>
  </r>
  <r>
    <s v="TRX0067"/>
    <x v="7"/>
    <s v="CUST043"/>
    <s v="Dennis Gray"/>
    <s v="P005"/>
    <x v="1"/>
    <x v="1"/>
    <n v="3"/>
    <n v="59.99"/>
    <x v="1"/>
    <x v="2"/>
    <x v="2"/>
    <d v="2024-02-29T00:00:00"/>
    <n v="179.97"/>
  </r>
  <r>
    <s v="TRX0191"/>
    <x v="7"/>
    <s v="CUST038"/>
    <s v="Michelle Rogers"/>
    <s v="P002"/>
    <x v="5"/>
    <x v="0"/>
    <n v="3"/>
    <n v="699.99"/>
    <x v="1"/>
    <x v="3"/>
    <x v="0"/>
    <d v="2022-01-16T00:00:00"/>
    <n v="2099.9699999999998"/>
  </r>
  <r>
    <s v="TRX0230"/>
    <x v="7"/>
    <s v="CUST027"/>
    <s v="George Adams"/>
    <s v="P001"/>
    <x v="4"/>
    <x v="0"/>
    <n v="1"/>
    <n v="899.99"/>
    <x v="3"/>
    <x v="2"/>
    <x v="2"/>
    <d v="2022-12-25T00:00:00"/>
    <n v="899.99"/>
  </r>
  <r>
    <s v="TRX0049"/>
    <x v="8"/>
    <s v="CUST025"/>
    <s v="Mark Carter"/>
    <s v="P008"/>
    <x v="2"/>
    <x v="2"/>
    <n v="4"/>
    <n v="149.99"/>
    <x v="3"/>
    <x v="2"/>
    <x v="1"/>
    <d v="2024-03-23T00:00:00"/>
    <n v="599.96"/>
  </r>
  <r>
    <s v="TRX0134"/>
    <x v="8"/>
    <s v="CUST010"/>
    <s v="Maria Garcia"/>
    <s v="P002"/>
    <x v="5"/>
    <x v="0"/>
    <n v="2"/>
    <n v="699.99"/>
    <x v="0"/>
    <x v="2"/>
    <x v="0"/>
    <d v="2022-08-08T00:00:00"/>
    <n v="1399.98"/>
  </r>
  <r>
    <s v="TRX0122"/>
    <x v="8"/>
    <s v="CUST025"/>
    <s v="Mark Carter"/>
    <s v="P001"/>
    <x v="4"/>
    <x v="0"/>
    <n v="4"/>
    <n v="899.99"/>
    <x v="1"/>
    <x v="3"/>
    <x v="2"/>
    <d v="2024-02-05T00:00:00"/>
    <n v="3599.96"/>
  </r>
  <r>
    <s v="TRX0222"/>
    <x v="8"/>
    <s v="CUST048"/>
    <s v="Virginia Sanders"/>
    <s v="P009"/>
    <x v="0"/>
    <x v="0"/>
    <n v="3"/>
    <n v="249.99"/>
    <x v="1"/>
    <x v="2"/>
    <x v="1"/>
    <d v="2023-10-25T00:00:00"/>
    <n v="749.97"/>
  </r>
  <r>
    <s v="TRX0231"/>
    <x v="9"/>
    <s v="CUST018"/>
    <s v="Barbara Young"/>
    <s v="P002"/>
    <x v="5"/>
    <x v="0"/>
    <n v="5"/>
    <n v="699.99"/>
    <x v="0"/>
    <x v="3"/>
    <x v="0"/>
    <d v="2023-08-29T00:00:00"/>
    <n v="3499.95"/>
  </r>
  <r>
    <s v="TRX0239"/>
    <x v="10"/>
    <s v="CUST012"/>
    <s v="Patricia Moore"/>
    <s v="P002"/>
    <x v="5"/>
    <x v="0"/>
    <n v="4"/>
    <n v="699.99"/>
    <x v="0"/>
    <x v="4"/>
    <x v="2"/>
    <d v="2021-08-01T00:00:00"/>
    <n v="2799.96"/>
  </r>
  <r>
    <s v="TRX0204"/>
    <x v="11"/>
    <s v="CUST044"/>
    <s v="Cynthia Price"/>
    <s v="P009"/>
    <x v="0"/>
    <x v="0"/>
    <n v="4"/>
    <n v="249.99"/>
    <x v="2"/>
    <x v="2"/>
    <x v="2"/>
    <d v="2021-09-29T00:00:00"/>
    <n v="999.96"/>
  </r>
  <r>
    <s v="TRX0242"/>
    <x v="12"/>
    <s v="CUST025"/>
    <s v="Mark Carter"/>
    <s v="P007"/>
    <x v="6"/>
    <x v="2"/>
    <n v="4"/>
    <n v="299.99"/>
    <x v="0"/>
    <x v="3"/>
    <x v="1"/>
    <d v="2022-06-04T00:00:00"/>
    <n v="1199.96"/>
  </r>
  <r>
    <s v="TRX0071"/>
    <x v="13"/>
    <s v="CUST036"/>
    <s v="Nancy Collins"/>
    <s v="P009"/>
    <x v="0"/>
    <x v="0"/>
    <n v="5"/>
    <n v="249.99"/>
    <x v="1"/>
    <x v="3"/>
    <x v="2"/>
    <d v="2021-11-25T00:00:00"/>
    <n v="1249.95"/>
  </r>
  <r>
    <s v="TRX0040"/>
    <x v="14"/>
    <s v="CUST022"/>
    <s v="Susan Green"/>
    <s v="P007"/>
    <x v="6"/>
    <x v="2"/>
    <n v="5"/>
    <n v="299.99"/>
    <x v="2"/>
    <x v="4"/>
    <x v="0"/>
    <d v="2023-08-30T00:00:00"/>
    <n v="1499.95"/>
  </r>
  <r>
    <s v="TRX0235"/>
    <x v="14"/>
    <s v="CUST014"/>
    <s v="Linda Martin"/>
    <s v="P004"/>
    <x v="7"/>
    <x v="1"/>
    <n v="3"/>
    <n v="79.989999999999995"/>
    <x v="2"/>
    <x v="4"/>
    <x v="1"/>
    <d v="2023-03-27T00:00:00"/>
    <n v="239.97"/>
  </r>
  <r>
    <s v="TRX0004"/>
    <x v="14"/>
    <s v="CUST012"/>
    <s v="Patricia Moore"/>
    <s v="P010"/>
    <x v="8"/>
    <x v="0"/>
    <n v="5"/>
    <n v="89.99"/>
    <x v="0"/>
    <x v="2"/>
    <x v="1"/>
    <d v="2022-12-24T00:00:00"/>
    <n v="449.95"/>
  </r>
  <r>
    <s v="TRX0063"/>
    <x v="15"/>
    <s v="CUST030"/>
    <s v="Helen Roberts"/>
    <s v="P005"/>
    <x v="1"/>
    <x v="1"/>
    <n v="2"/>
    <n v="59.99"/>
    <x v="3"/>
    <x v="0"/>
    <x v="2"/>
    <d v="2023-10-15T00:00:00"/>
    <n v="119.98"/>
  </r>
  <r>
    <s v="TRX0241"/>
    <x v="16"/>
    <s v="CUST029"/>
    <s v="Edward Mitchell"/>
    <s v="P005"/>
    <x v="1"/>
    <x v="1"/>
    <n v="4"/>
    <n v="59.99"/>
    <x v="3"/>
    <x v="4"/>
    <x v="2"/>
    <d v="2022-11-02T00:00:00"/>
    <n v="239.96"/>
  </r>
  <r>
    <s v="TRX0029"/>
    <x v="16"/>
    <s v="CUST017"/>
    <s v="Charles Allen"/>
    <s v="P006"/>
    <x v="9"/>
    <x v="2"/>
    <n v="5"/>
    <n v="199.99"/>
    <x v="0"/>
    <x v="1"/>
    <x v="2"/>
    <d v="2021-08-04T00:00:00"/>
    <n v="999.95"/>
  </r>
  <r>
    <s v="TRX0194"/>
    <x v="17"/>
    <s v="CUST006"/>
    <s v="Lisa Anderson"/>
    <s v="P008"/>
    <x v="2"/>
    <x v="2"/>
    <n v="2"/>
    <n v="149.99"/>
    <x v="1"/>
    <x v="3"/>
    <x v="0"/>
    <d v="2022-09-19T00:00:00"/>
    <n v="299.98"/>
  </r>
  <r>
    <s v="TRX0130"/>
    <x v="18"/>
    <s v="CUST002"/>
    <s v="Emma Wilson"/>
    <s v="P008"/>
    <x v="2"/>
    <x v="2"/>
    <n v="3"/>
    <n v="149.99"/>
    <x v="1"/>
    <x v="3"/>
    <x v="1"/>
    <d v="2023-05-22T00:00:00"/>
    <n v="449.97"/>
  </r>
  <r>
    <s v="TRX0041"/>
    <x v="19"/>
    <s v="CUST021"/>
    <s v="Kevin Scott"/>
    <s v="P001"/>
    <x v="4"/>
    <x v="0"/>
    <n v="1"/>
    <n v="899.99"/>
    <x v="1"/>
    <x v="3"/>
    <x v="1"/>
    <d v="2022-01-17T00:00:00"/>
    <n v="899.99"/>
  </r>
  <r>
    <s v="TRX0232"/>
    <x v="20"/>
    <s v="CUST012"/>
    <s v="Patricia Moore"/>
    <s v="P007"/>
    <x v="6"/>
    <x v="2"/>
    <n v="3"/>
    <n v="299.99"/>
    <x v="1"/>
    <x v="4"/>
    <x v="0"/>
    <d v="2022-09-20T00:00:00"/>
    <n v="899.97"/>
  </r>
  <r>
    <s v="TRX0021"/>
    <x v="21"/>
    <s v="CUST006"/>
    <s v="Lisa Anderson"/>
    <s v="P004"/>
    <x v="7"/>
    <x v="1"/>
    <n v="3"/>
    <n v="79.989999999999995"/>
    <x v="0"/>
    <x v="1"/>
    <x v="0"/>
    <d v="2023-04-30T00:00:00"/>
    <n v="239.97"/>
  </r>
  <r>
    <s v="TRX0245"/>
    <x v="22"/>
    <s v="CUST031"/>
    <s v="Steven Turner"/>
    <s v="P006"/>
    <x v="9"/>
    <x v="2"/>
    <n v="3"/>
    <n v="199.99"/>
    <x v="1"/>
    <x v="2"/>
    <x v="1"/>
    <d v="2024-01-01T00:00:00"/>
    <n v="599.97"/>
  </r>
  <r>
    <s v="TRX0015"/>
    <x v="23"/>
    <s v="CUST008"/>
    <s v="Jennifer Taylor"/>
    <s v="P002"/>
    <x v="5"/>
    <x v="0"/>
    <n v="5"/>
    <n v="699.99"/>
    <x v="2"/>
    <x v="3"/>
    <x v="2"/>
    <d v="2021-07-30T00:00:00"/>
    <n v="3499.95"/>
  </r>
  <r>
    <s v="TRX0202"/>
    <x v="24"/>
    <s v="CUST035"/>
    <s v="Harry Morgan"/>
    <s v="P010"/>
    <x v="8"/>
    <x v="0"/>
    <n v="3"/>
    <n v="89.99"/>
    <x v="2"/>
    <x v="0"/>
    <x v="1"/>
    <d v="2023-07-13T00:00:00"/>
    <n v="269.97000000000003"/>
  </r>
  <r>
    <s v="TRX0042"/>
    <x v="25"/>
    <s v="CUST019"/>
    <s v="Daniel King"/>
    <s v="P004"/>
    <x v="7"/>
    <x v="1"/>
    <n v="1"/>
    <n v="79.989999999999995"/>
    <x v="0"/>
    <x v="2"/>
    <x v="2"/>
    <d v="2022-12-22T00:00:00"/>
    <n v="79.989999999999995"/>
  </r>
  <r>
    <s v="TRX0128"/>
    <x v="26"/>
    <s v="CUST040"/>
    <s v="Sharon Butler"/>
    <s v="P005"/>
    <x v="1"/>
    <x v="1"/>
    <n v="2"/>
    <n v="59.99"/>
    <x v="0"/>
    <x v="3"/>
    <x v="0"/>
    <d v="2024-04-08T00:00:00"/>
    <n v="119.98"/>
  </r>
  <r>
    <s v="TRX0117"/>
    <x v="26"/>
    <s v="CUST017"/>
    <s v="Charles Allen"/>
    <s v="P010"/>
    <x v="8"/>
    <x v="0"/>
    <n v="1"/>
    <n v="89.99"/>
    <x v="0"/>
    <x v="2"/>
    <x v="0"/>
    <d v="2023-08-03T00:00:00"/>
    <n v="89.99"/>
  </r>
  <r>
    <s v="TRX0208"/>
    <x v="27"/>
    <s v="CUST004"/>
    <s v="Sarah Davis"/>
    <s v="P010"/>
    <x v="8"/>
    <x v="0"/>
    <n v="5"/>
    <n v="89.99"/>
    <x v="1"/>
    <x v="4"/>
    <x v="2"/>
    <d v="2022-01-26T00:00:00"/>
    <n v="449.95"/>
  </r>
  <r>
    <s v="TRX0234"/>
    <x v="28"/>
    <s v="CUST013"/>
    <s v="Joseph Jackson"/>
    <s v="P009"/>
    <x v="0"/>
    <x v="0"/>
    <n v="5"/>
    <n v="249.99"/>
    <x v="1"/>
    <x v="4"/>
    <x v="2"/>
    <d v="2022-05-26T00:00:00"/>
    <n v="1249.95"/>
  </r>
  <r>
    <s v="TRX0121"/>
    <x v="28"/>
    <s v="CUST028"/>
    <s v="Betty Campbell"/>
    <s v="P010"/>
    <x v="8"/>
    <x v="0"/>
    <n v="1"/>
    <n v="89.99"/>
    <x v="1"/>
    <x v="1"/>
    <x v="2"/>
    <d v="2022-01-21T00:00:00"/>
    <n v="89.99"/>
  </r>
  <r>
    <s v="TRX0220"/>
    <x v="29"/>
    <s v="CUST003"/>
    <s v="Michael Brown"/>
    <s v="P008"/>
    <x v="2"/>
    <x v="2"/>
    <n v="2"/>
    <n v="149.99"/>
    <x v="0"/>
    <x v="4"/>
    <x v="1"/>
    <d v="2022-03-25T00:00:00"/>
    <n v="299.98"/>
  </r>
  <r>
    <s v="TRX0093"/>
    <x v="30"/>
    <s v="CUST050"/>
    <s v="Julie Foster"/>
    <s v="P005"/>
    <x v="1"/>
    <x v="1"/>
    <n v="4"/>
    <n v="59.99"/>
    <x v="0"/>
    <x v="4"/>
    <x v="2"/>
    <d v="2021-08-27T00:00:00"/>
    <n v="239.96"/>
  </r>
  <r>
    <s v="TRX0088"/>
    <x v="31"/>
    <s v="CUST006"/>
    <s v="Lisa Anderson"/>
    <s v="P010"/>
    <x v="8"/>
    <x v="0"/>
    <n v="5"/>
    <n v="89.99"/>
    <x v="0"/>
    <x v="0"/>
    <x v="1"/>
    <d v="2022-01-18T00:00:00"/>
    <n v="449.95"/>
  </r>
  <r>
    <s v="TRX0115"/>
    <x v="32"/>
    <s v="CUST012"/>
    <s v="Patricia Moore"/>
    <s v="P010"/>
    <x v="8"/>
    <x v="0"/>
    <n v="2"/>
    <n v="89.99"/>
    <x v="1"/>
    <x v="1"/>
    <x v="1"/>
    <d v="2021-10-02T00:00:00"/>
    <n v="179.98"/>
  </r>
  <r>
    <s v="TRX0154"/>
    <x v="32"/>
    <s v="CUST023"/>
    <s v="Paul Baker"/>
    <s v="P001"/>
    <x v="4"/>
    <x v="0"/>
    <n v="5"/>
    <n v="899.99"/>
    <x v="1"/>
    <x v="1"/>
    <x v="2"/>
    <d v="2023-02-17T00:00:00"/>
    <n v="4499.95"/>
  </r>
  <r>
    <s v="TRX0044"/>
    <x v="32"/>
    <s v="CUST029"/>
    <s v="Edward Mitchell"/>
    <s v="P001"/>
    <x v="4"/>
    <x v="0"/>
    <n v="5"/>
    <n v="899.99"/>
    <x v="2"/>
    <x v="4"/>
    <x v="1"/>
    <d v="2023-12-18T00:00:00"/>
    <n v="4499.95"/>
  </r>
  <r>
    <s v="TRX0061"/>
    <x v="33"/>
    <s v="CUST028"/>
    <s v="Betty Campbell"/>
    <s v="P005"/>
    <x v="1"/>
    <x v="1"/>
    <n v="1"/>
    <n v="59.99"/>
    <x v="3"/>
    <x v="3"/>
    <x v="1"/>
    <d v="2023-09-21T00:00:00"/>
    <n v="59.99"/>
  </r>
  <r>
    <s v="TRX0150"/>
    <x v="33"/>
    <s v="CUST008"/>
    <s v="Jennifer Taylor"/>
    <s v="P007"/>
    <x v="6"/>
    <x v="2"/>
    <n v="2"/>
    <n v="299.99"/>
    <x v="3"/>
    <x v="4"/>
    <x v="2"/>
    <d v="2023-11-23T00:00:00"/>
    <n v="599.98"/>
  </r>
  <r>
    <s v="TRX0025"/>
    <x v="34"/>
    <s v="CUST049"/>
    <s v="Raymond Ross"/>
    <s v="P010"/>
    <x v="8"/>
    <x v="0"/>
    <n v="4"/>
    <n v="89.99"/>
    <x v="3"/>
    <x v="1"/>
    <x v="0"/>
    <d v="2023-12-21T00:00:00"/>
    <n v="359.96"/>
  </r>
  <r>
    <s v="TRX0078"/>
    <x v="35"/>
    <s v="CUST021"/>
    <s v="Kevin Scott"/>
    <s v="P004"/>
    <x v="7"/>
    <x v="1"/>
    <n v="1"/>
    <n v="79.989999999999995"/>
    <x v="2"/>
    <x v="0"/>
    <x v="1"/>
    <d v="2024-03-01T00:00:00"/>
    <n v="79.989999999999995"/>
  </r>
  <r>
    <s v="TRX0007"/>
    <x v="35"/>
    <s v="CUST009"/>
    <s v="Robert Thomas"/>
    <s v="P010"/>
    <x v="8"/>
    <x v="0"/>
    <n v="2"/>
    <n v="89.99"/>
    <x v="0"/>
    <x v="3"/>
    <x v="0"/>
    <d v="2021-08-30T00:00:00"/>
    <n v="179.98"/>
  </r>
  <r>
    <s v="TRX0184"/>
    <x v="36"/>
    <s v="CUST046"/>
    <s v="Kathleen Bennett"/>
    <s v="P002"/>
    <x v="5"/>
    <x v="0"/>
    <n v="3"/>
    <n v="699.99"/>
    <x v="1"/>
    <x v="4"/>
    <x v="1"/>
    <d v="2023-06-25T00:00:00"/>
    <n v="2099.9699999999998"/>
  </r>
  <r>
    <s v="TRX0104"/>
    <x v="36"/>
    <s v="CUST012"/>
    <s v="Patricia Moore"/>
    <s v="P001"/>
    <x v="4"/>
    <x v="0"/>
    <n v="4"/>
    <n v="899.99"/>
    <x v="1"/>
    <x v="4"/>
    <x v="1"/>
    <d v="2023-03-08T00:00:00"/>
    <n v="3599.96"/>
  </r>
  <r>
    <s v="TRX0127"/>
    <x v="37"/>
    <s v="CUST030"/>
    <s v="Helen Roberts"/>
    <s v="P008"/>
    <x v="2"/>
    <x v="2"/>
    <n v="1"/>
    <n v="149.99"/>
    <x v="2"/>
    <x v="4"/>
    <x v="0"/>
    <d v="2022-10-17T00:00:00"/>
    <n v="149.99"/>
  </r>
  <r>
    <s v="TRX0096"/>
    <x v="38"/>
    <s v="CUST002"/>
    <s v="Emma Wilson"/>
    <s v="P010"/>
    <x v="8"/>
    <x v="0"/>
    <n v="2"/>
    <n v="89.99"/>
    <x v="2"/>
    <x v="0"/>
    <x v="1"/>
    <d v="2023-12-15T00:00:00"/>
    <n v="179.98"/>
  </r>
  <r>
    <s v="TRX0192"/>
    <x v="39"/>
    <s v="CUST017"/>
    <s v="Charles Allen"/>
    <s v="P010"/>
    <x v="8"/>
    <x v="0"/>
    <n v="1"/>
    <n v="89.99"/>
    <x v="2"/>
    <x v="3"/>
    <x v="2"/>
    <d v="2022-08-29T00:00:00"/>
    <n v="89.99"/>
  </r>
  <r>
    <s v="TRX0052"/>
    <x v="40"/>
    <s v="CUST022"/>
    <s v="Susan Green"/>
    <s v="P010"/>
    <x v="8"/>
    <x v="0"/>
    <n v="1"/>
    <n v="89.99"/>
    <x v="0"/>
    <x v="1"/>
    <x v="2"/>
    <d v="2022-02-19T00:00:00"/>
    <n v="89.99"/>
  </r>
  <r>
    <s v="TRX0070"/>
    <x v="40"/>
    <s v="CUST007"/>
    <s v="David Martinez"/>
    <s v="P004"/>
    <x v="7"/>
    <x v="1"/>
    <n v="5"/>
    <n v="79.989999999999995"/>
    <x v="3"/>
    <x v="0"/>
    <x v="0"/>
    <d v="2023-02-24T00:00:00"/>
    <n v="399.95"/>
  </r>
  <r>
    <s v="TRX0086"/>
    <x v="41"/>
    <s v="CUST020"/>
    <s v="Margaret Wright"/>
    <s v="P008"/>
    <x v="2"/>
    <x v="2"/>
    <n v="1"/>
    <n v="149.99"/>
    <x v="2"/>
    <x v="2"/>
    <x v="0"/>
    <d v="2021-08-13T00:00:00"/>
    <n v="149.99"/>
  </r>
  <r>
    <s v="TRX0113"/>
    <x v="41"/>
    <s v="CUST003"/>
    <s v="Michael Brown"/>
    <s v="P002"/>
    <x v="5"/>
    <x v="0"/>
    <n v="2"/>
    <n v="699.99"/>
    <x v="2"/>
    <x v="4"/>
    <x v="1"/>
    <d v="2024-04-07T00:00:00"/>
    <n v="1399.98"/>
  </r>
  <r>
    <s v="TRX0114"/>
    <x v="41"/>
    <s v="CUST018"/>
    <s v="Barbara Young"/>
    <s v="P010"/>
    <x v="8"/>
    <x v="0"/>
    <n v="5"/>
    <n v="89.99"/>
    <x v="3"/>
    <x v="2"/>
    <x v="1"/>
    <d v="2023-08-23T00:00:00"/>
    <n v="449.95"/>
  </r>
  <r>
    <s v="TRX0136"/>
    <x v="42"/>
    <s v="CUST049"/>
    <s v="Raymond Ross"/>
    <s v="P005"/>
    <x v="1"/>
    <x v="1"/>
    <n v="4"/>
    <n v="59.99"/>
    <x v="0"/>
    <x v="1"/>
    <x v="2"/>
    <d v="2021-11-09T00:00:00"/>
    <n v="239.96"/>
  </r>
  <r>
    <s v="TRX0018"/>
    <x v="43"/>
    <s v="CUST013"/>
    <s v="Joseph Jackson"/>
    <s v="P003"/>
    <x v="3"/>
    <x v="0"/>
    <n v="1"/>
    <n v="149.99"/>
    <x v="0"/>
    <x v="0"/>
    <x v="2"/>
    <d v="2022-12-14T00:00:00"/>
    <n v="149.99"/>
  </r>
  <r>
    <s v="TRX0141"/>
    <x v="43"/>
    <s v="CUST033"/>
    <s v="Frank Torres"/>
    <s v="P007"/>
    <x v="6"/>
    <x v="2"/>
    <n v="1"/>
    <n v="299.99"/>
    <x v="1"/>
    <x v="2"/>
    <x v="1"/>
    <d v="2022-11-26T00:00:00"/>
    <n v="299.99"/>
  </r>
  <r>
    <s v="TRX0097"/>
    <x v="44"/>
    <s v="CUST033"/>
    <s v="Frank Torres"/>
    <s v="P006"/>
    <x v="9"/>
    <x v="2"/>
    <n v="2"/>
    <n v="199.99"/>
    <x v="0"/>
    <x v="2"/>
    <x v="0"/>
    <d v="2021-12-11T00:00:00"/>
    <n v="399.98"/>
  </r>
  <r>
    <s v="TRX0169"/>
    <x v="45"/>
    <s v="CUST047"/>
    <s v="Gerald Murphy"/>
    <s v="P005"/>
    <x v="1"/>
    <x v="1"/>
    <n v="3"/>
    <n v="59.99"/>
    <x v="1"/>
    <x v="3"/>
    <x v="0"/>
    <d v="2023-07-23T00:00:00"/>
    <n v="179.97"/>
  </r>
  <r>
    <s v="TRX0216"/>
    <x v="45"/>
    <s v="CUST041"/>
    <s v="Peter Richardson"/>
    <s v="P008"/>
    <x v="2"/>
    <x v="2"/>
    <n v="3"/>
    <n v="149.99"/>
    <x v="0"/>
    <x v="0"/>
    <x v="1"/>
    <d v="2023-09-30T00:00:00"/>
    <n v="449.97"/>
  </r>
  <r>
    <s v="TRX0131"/>
    <x v="46"/>
    <s v="CUST026"/>
    <s v="Karen Hill"/>
    <s v="P006"/>
    <x v="9"/>
    <x v="2"/>
    <n v="3"/>
    <n v="199.99"/>
    <x v="0"/>
    <x v="2"/>
    <x v="1"/>
    <d v="2023-11-24T00:00:00"/>
    <n v="599.97"/>
  </r>
  <r>
    <s v="TRX0162"/>
    <x v="47"/>
    <s v="CUST040"/>
    <s v="Sharon Butler"/>
    <s v="P001"/>
    <x v="4"/>
    <x v="0"/>
    <n v="1"/>
    <n v="899.99"/>
    <x v="0"/>
    <x v="0"/>
    <x v="2"/>
    <d v="2023-09-10T00:00:00"/>
    <n v="899.99"/>
  </r>
  <r>
    <s v="TRX0244"/>
    <x v="48"/>
    <s v="CUST013"/>
    <s v="Joseph Jackson"/>
    <s v="P001"/>
    <x v="4"/>
    <x v="0"/>
    <n v="5"/>
    <n v="899.99"/>
    <x v="3"/>
    <x v="1"/>
    <x v="2"/>
    <d v="2022-12-04T00:00:00"/>
    <n v="4499.95"/>
  </r>
  <r>
    <s v="TRX0006"/>
    <x v="49"/>
    <s v="CUST007"/>
    <s v="David Martinez"/>
    <s v="P005"/>
    <x v="1"/>
    <x v="1"/>
    <n v="2"/>
    <n v="59.99"/>
    <x v="0"/>
    <x v="2"/>
    <x v="2"/>
    <d v="2023-08-14T00:00:00"/>
    <n v="119.98"/>
  </r>
  <r>
    <s v="TRX0215"/>
    <x v="49"/>
    <s v="CUST047"/>
    <s v="Gerald Murphy"/>
    <s v="P009"/>
    <x v="0"/>
    <x v="0"/>
    <n v="4"/>
    <n v="249.99"/>
    <x v="3"/>
    <x v="0"/>
    <x v="2"/>
    <d v="2023-07-20T00:00:00"/>
    <n v="999.96"/>
  </r>
  <r>
    <s v="TRX0080"/>
    <x v="50"/>
    <s v="CUST018"/>
    <s v="Barbara Young"/>
    <s v="P009"/>
    <x v="0"/>
    <x v="0"/>
    <n v="2"/>
    <n v="249.99"/>
    <x v="0"/>
    <x v="2"/>
    <x v="1"/>
    <d v="2023-08-26T00:00:00"/>
    <n v="499.98"/>
  </r>
  <r>
    <s v="TRX0228"/>
    <x v="50"/>
    <s v="CUST019"/>
    <s v="Daniel King"/>
    <s v="P007"/>
    <x v="6"/>
    <x v="2"/>
    <n v="1"/>
    <n v="299.99"/>
    <x v="0"/>
    <x v="1"/>
    <x v="0"/>
    <d v="2023-02-25T00:00:00"/>
    <n v="299.99"/>
  </r>
  <r>
    <s v="TRX0157"/>
    <x v="51"/>
    <s v="CUST025"/>
    <s v="Mark Carter"/>
    <s v="P010"/>
    <x v="8"/>
    <x v="0"/>
    <n v="2"/>
    <n v="89.99"/>
    <x v="2"/>
    <x v="1"/>
    <x v="0"/>
    <d v="2023-02-19T00:00:00"/>
    <n v="179.98"/>
  </r>
  <r>
    <s v="TRX0002"/>
    <x v="51"/>
    <s v="CUST019"/>
    <s v="Daniel King"/>
    <s v="P007"/>
    <x v="6"/>
    <x v="2"/>
    <n v="3"/>
    <n v="299.99"/>
    <x v="0"/>
    <x v="0"/>
    <x v="0"/>
    <d v="2022-06-20T00:00:00"/>
    <n v="899.97"/>
  </r>
  <r>
    <s v="TRX0217"/>
    <x v="52"/>
    <s v="CUST025"/>
    <s v="Mark Carter"/>
    <s v="P002"/>
    <x v="5"/>
    <x v="0"/>
    <n v="2"/>
    <n v="699.99"/>
    <x v="1"/>
    <x v="2"/>
    <x v="1"/>
    <d v="2023-03-14T00:00:00"/>
    <n v="1399.98"/>
  </r>
  <r>
    <s v="TRX0249"/>
    <x v="53"/>
    <s v="CUST030"/>
    <s v="Helen Roberts"/>
    <s v="P001"/>
    <x v="4"/>
    <x v="0"/>
    <n v="4"/>
    <n v="899.99"/>
    <x v="3"/>
    <x v="1"/>
    <x v="2"/>
    <d v="2021-11-23T00:00:00"/>
    <n v="3599.96"/>
  </r>
  <r>
    <s v="TRX0065"/>
    <x v="54"/>
    <s v="CUST016"/>
    <s v="Elizabeth Hall"/>
    <s v="P008"/>
    <x v="2"/>
    <x v="2"/>
    <n v="2"/>
    <n v="149.99"/>
    <x v="1"/>
    <x v="3"/>
    <x v="0"/>
    <d v="2021-12-12T00:00:00"/>
    <n v="299.98"/>
  </r>
  <r>
    <s v="TRX0176"/>
    <x v="55"/>
    <s v="CUST044"/>
    <s v="Cynthia Price"/>
    <s v="P008"/>
    <x v="2"/>
    <x v="2"/>
    <n v="2"/>
    <n v="149.99"/>
    <x v="3"/>
    <x v="4"/>
    <x v="2"/>
    <d v="2022-04-16T00:00:00"/>
    <n v="299.98"/>
  </r>
  <r>
    <s v="TRX0101"/>
    <x v="56"/>
    <s v="CUST010"/>
    <s v="Maria Garcia"/>
    <s v="P010"/>
    <x v="8"/>
    <x v="0"/>
    <n v="1"/>
    <n v="89.99"/>
    <x v="1"/>
    <x v="2"/>
    <x v="2"/>
    <d v="2024-04-11T00:00:00"/>
    <n v="89.99"/>
  </r>
  <r>
    <s v="TRX0205"/>
    <x v="57"/>
    <s v="CUST025"/>
    <s v="Mark Carter"/>
    <s v="P007"/>
    <x v="6"/>
    <x v="2"/>
    <n v="5"/>
    <n v="299.99"/>
    <x v="1"/>
    <x v="2"/>
    <x v="0"/>
    <d v="2023-02-08T00:00:00"/>
    <n v="1499.95"/>
  </r>
  <r>
    <s v="TRX0020"/>
    <x v="58"/>
    <s v="CUST007"/>
    <s v="David Martinez"/>
    <s v="P003"/>
    <x v="3"/>
    <x v="0"/>
    <n v="4"/>
    <n v="149.99"/>
    <x v="3"/>
    <x v="1"/>
    <x v="1"/>
    <d v="2022-09-16T00:00:00"/>
    <n v="599.96"/>
  </r>
  <r>
    <s v="TRX0075"/>
    <x v="58"/>
    <s v="CUST020"/>
    <s v="Margaret Wright"/>
    <s v="P009"/>
    <x v="0"/>
    <x v="0"/>
    <n v="5"/>
    <n v="249.99"/>
    <x v="2"/>
    <x v="4"/>
    <x v="1"/>
    <d v="2022-08-09T00:00:00"/>
    <n v="1249.95"/>
  </r>
  <r>
    <s v="TRX0098"/>
    <x v="58"/>
    <s v="CUST026"/>
    <s v="Karen Hill"/>
    <s v="P009"/>
    <x v="0"/>
    <x v="0"/>
    <n v="3"/>
    <n v="249.99"/>
    <x v="2"/>
    <x v="2"/>
    <x v="1"/>
    <d v="2021-09-26T00:00:00"/>
    <n v="749.97"/>
  </r>
  <r>
    <s v="TRX0247"/>
    <x v="58"/>
    <s v="CUST046"/>
    <s v="Kathleen Bennett"/>
    <s v="P006"/>
    <x v="9"/>
    <x v="2"/>
    <n v="4"/>
    <n v="199.99"/>
    <x v="0"/>
    <x v="2"/>
    <x v="2"/>
    <d v="2021-09-19T00:00:00"/>
    <n v="799.96"/>
  </r>
  <r>
    <s v="TRX0027"/>
    <x v="59"/>
    <s v="CUST028"/>
    <s v="Betty Campbell"/>
    <s v="P006"/>
    <x v="9"/>
    <x v="2"/>
    <n v="5"/>
    <n v="199.99"/>
    <x v="0"/>
    <x v="2"/>
    <x v="1"/>
    <d v="2023-03-06T00:00:00"/>
    <n v="999.95"/>
  </r>
  <r>
    <s v="TRX0140"/>
    <x v="60"/>
    <s v="CUST025"/>
    <s v="Mark Carter"/>
    <s v="P010"/>
    <x v="8"/>
    <x v="0"/>
    <n v="2"/>
    <n v="89.99"/>
    <x v="0"/>
    <x v="4"/>
    <x v="1"/>
    <d v="2023-02-15T00:00:00"/>
    <n v="179.98"/>
  </r>
  <r>
    <s v="TRX0132"/>
    <x v="61"/>
    <s v="CUST047"/>
    <s v="Gerald Murphy"/>
    <s v="P001"/>
    <x v="4"/>
    <x v="0"/>
    <n v="5"/>
    <n v="899.99"/>
    <x v="3"/>
    <x v="4"/>
    <x v="0"/>
    <d v="2021-11-26T00:00:00"/>
    <n v="4499.95"/>
  </r>
  <r>
    <s v="TRX0031"/>
    <x v="61"/>
    <s v="CUST036"/>
    <s v="Nancy Collins"/>
    <s v="P003"/>
    <x v="3"/>
    <x v="0"/>
    <n v="3"/>
    <n v="149.99"/>
    <x v="2"/>
    <x v="4"/>
    <x v="0"/>
    <d v="2022-01-13T00:00:00"/>
    <n v="449.97"/>
  </r>
  <r>
    <s v="TRX0236"/>
    <x v="62"/>
    <s v="CUST044"/>
    <s v="Cynthia Price"/>
    <s v="P008"/>
    <x v="2"/>
    <x v="2"/>
    <n v="5"/>
    <n v="149.99"/>
    <x v="1"/>
    <x v="0"/>
    <x v="0"/>
    <d v="2024-01-19T00:00:00"/>
    <n v="749.95"/>
  </r>
  <r>
    <s v="TRX0001"/>
    <x v="63"/>
    <s v="CUST039"/>
    <s v="Lawrence Reed"/>
    <s v="P004"/>
    <x v="7"/>
    <x v="1"/>
    <n v="3"/>
    <n v="79.989999999999995"/>
    <x v="0"/>
    <x v="0"/>
    <x v="1"/>
    <d v="2022-08-06T00:00:00"/>
    <n v="239.97"/>
  </r>
  <r>
    <s v="TRX0037"/>
    <x v="63"/>
    <s v="CUST035"/>
    <s v="Harry Morgan"/>
    <s v="P009"/>
    <x v="0"/>
    <x v="0"/>
    <n v="2"/>
    <n v="249.99"/>
    <x v="0"/>
    <x v="1"/>
    <x v="2"/>
    <d v="2022-01-11T00:00:00"/>
    <n v="499.98"/>
  </r>
  <r>
    <s v="TRX0058"/>
    <x v="64"/>
    <s v="CUST047"/>
    <s v="Gerald Murphy"/>
    <s v="P002"/>
    <x v="5"/>
    <x v="0"/>
    <n v="1"/>
    <n v="699.99"/>
    <x v="0"/>
    <x v="0"/>
    <x v="1"/>
    <d v="2021-10-28T00:00:00"/>
    <n v="699.99"/>
  </r>
  <r>
    <s v="TRX0170"/>
    <x v="64"/>
    <s v="CUST034"/>
    <s v="Carol Evans"/>
    <s v="P003"/>
    <x v="3"/>
    <x v="0"/>
    <n v="3"/>
    <n v="149.99"/>
    <x v="0"/>
    <x v="3"/>
    <x v="1"/>
    <d v="2023-10-13T00:00:00"/>
    <n v="449.97"/>
  </r>
  <r>
    <s v="TRX0248"/>
    <x v="65"/>
    <s v="CUST032"/>
    <s v="Sandra Phillips"/>
    <s v="P002"/>
    <x v="5"/>
    <x v="0"/>
    <n v="2"/>
    <n v="699.99"/>
    <x v="1"/>
    <x v="2"/>
    <x v="1"/>
    <d v="2021-08-13T00:00:00"/>
    <n v="1399.98"/>
  </r>
  <r>
    <s v="TRX0099"/>
    <x v="66"/>
    <s v="CUST034"/>
    <s v="Carol Evans"/>
    <s v="P009"/>
    <x v="0"/>
    <x v="0"/>
    <n v="1"/>
    <n v="249.99"/>
    <x v="1"/>
    <x v="3"/>
    <x v="1"/>
    <d v="2022-05-04T00:00:00"/>
    <n v="249.99"/>
  </r>
  <r>
    <s v="TRX0074"/>
    <x v="66"/>
    <s v="CUST023"/>
    <s v="Paul Baker"/>
    <s v="P009"/>
    <x v="0"/>
    <x v="0"/>
    <n v="1"/>
    <n v="249.99"/>
    <x v="3"/>
    <x v="2"/>
    <x v="1"/>
    <d v="2024-02-10T00:00:00"/>
    <n v="249.99"/>
  </r>
  <r>
    <s v="TRX0225"/>
    <x v="67"/>
    <s v="CUST039"/>
    <s v="Lawrence Reed"/>
    <s v="P002"/>
    <x v="5"/>
    <x v="0"/>
    <n v="2"/>
    <n v="699.99"/>
    <x v="3"/>
    <x v="0"/>
    <x v="1"/>
    <d v="2022-11-05T00:00:00"/>
    <n v="1399.98"/>
  </r>
  <r>
    <s v="TRX0100"/>
    <x v="68"/>
    <s v="CUST031"/>
    <s v="Steven Turner"/>
    <s v="P005"/>
    <x v="1"/>
    <x v="1"/>
    <n v="3"/>
    <n v="59.99"/>
    <x v="1"/>
    <x v="0"/>
    <x v="1"/>
    <d v="2022-06-05T00:00:00"/>
    <n v="179.97"/>
  </r>
  <r>
    <s v="TRX0142"/>
    <x v="69"/>
    <s v="CUST002"/>
    <s v="Emma Wilson"/>
    <s v="P005"/>
    <x v="1"/>
    <x v="1"/>
    <n v="3"/>
    <n v="59.99"/>
    <x v="2"/>
    <x v="4"/>
    <x v="2"/>
    <d v="2022-07-06T00:00:00"/>
    <n v="179.97"/>
  </r>
  <r>
    <s v="TRX0112"/>
    <x v="69"/>
    <s v="CUST008"/>
    <s v="Jennifer Taylor"/>
    <s v="P004"/>
    <x v="7"/>
    <x v="1"/>
    <n v="4"/>
    <n v="79.989999999999995"/>
    <x v="0"/>
    <x v="2"/>
    <x v="0"/>
    <d v="2021-11-30T00:00:00"/>
    <n v="319.95999999999998"/>
  </r>
  <r>
    <s v="TRX0161"/>
    <x v="70"/>
    <s v="CUST017"/>
    <s v="Charles Allen"/>
    <s v="P004"/>
    <x v="7"/>
    <x v="1"/>
    <n v="1"/>
    <n v="79.989999999999995"/>
    <x v="0"/>
    <x v="3"/>
    <x v="0"/>
    <d v="2022-05-12T00:00:00"/>
    <n v="79.989999999999995"/>
  </r>
  <r>
    <s v="TRX0108"/>
    <x v="71"/>
    <s v="CUST024"/>
    <s v="Dorothy Nelson"/>
    <s v="P007"/>
    <x v="6"/>
    <x v="2"/>
    <n v="3"/>
    <n v="299.99"/>
    <x v="1"/>
    <x v="0"/>
    <x v="1"/>
    <d v="2021-10-25T00:00:00"/>
    <n v="899.97"/>
  </r>
  <r>
    <s v="TRX0211"/>
    <x v="72"/>
    <s v="CUST046"/>
    <s v="Kathleen Bennett"/>
    <s v="P010"/>
    <x v="8"/>
    <x v="0"/>
    <n v="2"/>
    <n v="89.99"/>
    <x v="1"/>
    <x v="1"/>
    <x v="1"/>
    <d v="2022-03-21T00:00:00"/>
    <n v="179.98"/>
  </r>
  <r>
    <s v="TRX0005"/>
    <x v="73"/>
    <s v="CUST042"/>
    <s v="Ruth Brooks"/>
    <s v="P003"/>
    <x v="3"/>
    <x v="0"/>
    <n v="4"/>
    <n v="149.99"/>
    <x v="0"/>
    <x v="2"/>
    <x v="0"/>
    <d v="2022-12-14T00:00:00"/>
    <n v="599.96"/>
  </r>
  <r>
    <s v="TRX0195"/>
    <x v="74"/>
    <s v="CUST026"/>
    <s v="Karen Hill"/>
    <s v="P009"/>
    <x v="0"/>
    <x v="0"/>
    <n v="2"/>
    <n v="249.99"/>
    <x v="2"/>
    <x v="1"/>
    <x v="0"/>
    <d v="2023-03-08T00:00:00"/>
    <n v="499.98"/>
  </r>
  <r>
    <s v="TRX0054"/>
    <x v="74"/>
    <s v="CUST004"/>
    <s v="Sarah Davis"/>
    <s v="P006"/>
    <x v="9"/>
    <x v="2"/>
    <n v="4"/>
    <n v="199.99"/>
    <x v="3"/>
    <x v="4"/>
    <x v="0"/>
    <d v="2021-09-19T00:00:00"/>
    <n v="799.96"/>
  </r>
  <r>
    <s v="TRX0077"/>
    <x v="75"/>
    <s v="CUST019"/>
    <s v="Daniel King"/>
    <s v="P010"/>
    <x v="8"/>
    <x v="0"/>
    <n v="5"/>
    <n v="89.99"/>
    <x v="1"/>
    <x v="4"/>
    <x v="1"/>
    <d v="2021-09-07T00:00:00"/>
    <n v="449.95"/>
  </r>
  <r>
    <s v="TRX0111"/>
    <x v="75"/>
    <s v="CUST011"/>
    <s v="William White"/>
    <s v="P003"/>
    <x v="3"/>
    <x v="0"/>
    <n v="1"/>
    <n v="149.99"/>
    <x v="2"/>
    <x v="4"/>
    <x v="2"/>
    <d v="2021-10-13T00:00:00"/>
    <n v="149.99"/>
  </r>
  <r>
    <s v="TRX0123"/>
    <x v="75"/>
    <s v="CUST041"/>
    <s v="Peter Richardson"/>
    <s v="P002"/>
    <x v="5"/>
    <x v="0"/>
    <n v="4"/>
    <n v="699.99"/>
    <x v="2"/>
    <x v="1"/>
    <x v="0"/>
    <d v="2022-02-26T00:00:00"/>
    <n v="2799.96"/>
  </r>
  <r>
    <s v="TRX0177"/>
    <x v="76"/>
    <s v="CUST032"/>
    <s v="Sandra Phillips"/>
    <s v="P001"/>
    <x v="4"/>
    <x v="0"/>
    <n v="3"/>
    <n v="899.99"/>
    <x v="1"/>
    <x v="2"/>
    <x v="2"/>
    <d v="2023-08-19T00:00:00"/>
    <n v="2699.97"/>
  </r>
  <r>
    <s v="TRX0119"/>
    <x v="77"/>
    <s v="CUST014"/>
    <s v="Linda Martin"/>
    <s v="P008"/>
    <x v="2"/>
    <x v="2"/>
    <n v="3"/>
    <n v="149.99"/>
    <x v="2"/>
    <x v="4"/>
    <x v="0"/>
    <d v="2022-11-21T00:00:00"/>
    <n v="449.97"/>
  </r>
  <r>
    <s v="TRX0181"/>
    <x v="78"/>
    <s v="CUST012"/>
    <s v="Patricia Moore"/>
    <s v="P007"/>
    <x v="6"/>
    <x v="2"/>
    <n v="2"/>
    <n v="299.99"/>
    <x v="3"/>
    <x v="0"/>
    <x v="0"/>
    <d v="2022-01-08T00:00:00"/>
    <n v="599.98"/>
  </r>
  <r>
    <s v="TRX0129"/>
    <x v="79"/>
    <s v="CUST015"/>
    <s v="Richard Lee"/>
    <s v="P006"/>
    <x v="9"/>
    <x v="2"/>
    <n v="1"/>
    <n v="199.99"/>
    <x v="3"/>
    <x v="4"/>
    <x v="2"/>
    <d v="2023-01-27T00:00:00"/>
    <n v="199.99"/>
  </r>
  <r>
    <s v="TRX0174"/>
    <x v="80"/>
    <s v="CUST003"/>
    <s v="Michael Brown"/>
    <s v="P007"/>
    <x v="6"/>
    <x v="2"/>
    <n v="4"/>
    <n v="299.99"/>
    <x v="0"/>
    <x v="0"/>
    <x v="1"/>
    <d v="2021-09-21T00:00:00"/>
    <n v="1199.96"/>
  </r>
  <r>
    <s v="TRX0146"/>
    <x v="81"/>
    <s v="CUST010"/>
    <s v="Maria Garcia"/>
    <s v="P005"/>
    <x v="1"/>
    <x v="1"/>
    <n v="2"/>
    <n v="59.99"/>
    <x v="1"/>
    <x v="0"/>
    <x v="0"/>
    <d v="2022-01-18T00:00:00"/>
    <n v="119.98"/>
  </r>
  <r>
    <s v="TRX0203"/>
    <x v="81"/>
    <s v="CUST032"/>
    <s v="Sandra Phillips"/>
    <s v="P003"/>
    <x v="3"/>
    <x v="0"/>
    <n v="4"/>
    <n v="149.99"/>
    <x v="1"/>
    <x v="2"/>
    <x v="1"/>
    <d v="2023-05-30T00:00:00"/>
    <n v="599.96"/>
  </r>
  <r>
    <s v="TRX0055"/>
    <x v="82"/>
    <s v="CUST016"/>
    <s v="Elizabeth Hall"/>
    <s v="P002"/>
    <x v="5"/>
    <x v="0"/>
    <n v="2"/>
    <n v="699.99"/>
    <x v="3"/>
    <x v="4"/>
    <x v="1"/>
    <d v="2023-12-14T00:00:00"/>
    <n v="1399.98"/>
  </r>
  <r>
    <s v="TRX0218"/>
    <x v="82"/>
    <s v="CUST034"/>
    <s v="Carol Evans"/>
    <s v="P008"/>
    <x v="2"/>
    <x v="2"/>
    <n v="3"/>
    <n v="149.99"/>
    <x v="1"/>
    <x v="1"/>
    <x v="2"/>
    <d v="2023-01-14T00:00:00"/>
    <n v="449.97"/>
  </r>
  <r>
    <s v="TRX0085"/>
    <x v="83"/>
    <s v="CUST019"/>
    <s v="Daniel King"/>
    <s v="P007"/>
    <x v="6"/>
    <x v="2"/>
    <n v="3"/>
    <n v="299.99"/>
    <x v="1"/>
    <x v="0"/>
    <x v="2"/>
    <d v="2023-09-05T00:00:00"/>
    <n v="899.97"/>
  </r>
  <r>
    <s v="TRX0158"/>
    <x v="84"/>
    <s v="CUST027"/>
    <s v="George Adams"/>
    <s v="P001"/>
    <x v="4"/>
    <x v="0"/>
    <n v="3"/>
    <n v="899.99"/>
    <x v="2"/>
    <x v="3"/>
    <x v="0"/>
    <d v="2023-10-16T00:00:00"/>
    <n v="2699.97"/>
  </r>
  <r>
    <s v="TRX0173"/>
    <x v="85"/>
    <s v="CUST018"/>
    <s v="Barbara Young"/>
    <s v="P002"/>
    <x v="5"/>
    <x v="0"/>
    <n v="5"/>
    <n v="699.99"/>
    <x v="0"/>
    <x v="4"/>
    <x v="2"/>
    <d v="2023-03-23T00:00:00"/>
    <n v="3499.95"/>
  </r>
  <r>
    <s v="TRX0034"/>
    <x v="85"/>
    <s v="CUST049"/>
    <s v="Raymond Ross"/>
    <s v="P002"/>
    <x v="5"/>
    <x v="0"/>
    <n v="4"/>
    <n v="699.99"/>
    <x v="1"/>
    <x v="0"/>
    <x v="0"/>
    <d v="2024-04-03T00:00:00"/>
    <n v="2799.96"/>
  </r>
  <r>
    <s v="TRX0189"/>
    <x v="85"/>
    <s v="CUST040"/>
    <s v="Sharon Butler"/>
    <s v="P001"/>
    <x v="4"/>
    <x v="0"/>
    <n v="1"/>
    <n v="899.99"/>
    <x v="1"/>
    <x v="4"/>
    <x v="2"/>
    <d v="2024-03-18T00:00:00"/>
    <n v="899.99"/>
  </r>
  <r>
    <s v="TRX0190"/>
    <x v="86"/>
    <s v="CUST039"/>
    <s v="Lawrence Reed"/>
    <s v="P003"/>
    <x v="3"/>
    <x v="0"/>
    <n v="2"/>
    <n v="149.99"/>
    <x v="1"/>
    <x v="3"/>
    <x v="0"/>
    <d v="2022-12-21T00:00:00"/>
    <n v="299.98"/>
  </r>
  <r>
    <s v="TRX0079"/>
    <x v="87"/>
    <s v="CUST039"/>
    <s v="Lawrence Reed"/>
    <s v="P010"/>
    <x v="8"/>
    <x v="0"/>
    <n v="3"/>
    <n v="89.99"/>
    <x v="2"/>
    <x v="0"/>
    <x v="0"/>
    <d v="2021-12-21T00:00:00"/>
    <n v="269.97000000000003"/>
  </r>
  <r>
    <s v="TRX0095"/>
    <x v="88"/>
    <s v="CUST046"/>
    <s v="Kathleen Bennett"/>
    <s v="P003"/>
    <x v="3"/>
    <x v="0"/>
    <n v="2"/>
    <n v="149.99"/>
    <x v="2"/>
    <x v="0"/>
    <x v="0"/>
    <d v="2021-10-04T00:00:00"/>
    <n v="299.98"/>
  </r>
  <r>
    <s v="TRX0009"/>
    <x v="88"/>
    <s v="CUST004"/>
    <s v="Sarah Davis"/>
    <s v="P002"/>
    <x v="5"/>
    <x v="0"/>
    <n v="2"/>
    <n v="699.99"/>
    <x v="0"/>
    <x v="0"/>
    <x v="0"/>
    <d v="2023-03-07T00:00:00"/>
    <n v="1399.98"/>
  </r>
  <r>
    <s v="TRX0167"/>
    <x v="89"/>
    <s v="CUST028"/>
    <s v="Betty Campbell"/>
    <s v="P002"/>
    <x v="5"/>
    <x v="0"/>
    <n v="5"/>
    <n v="699.99"/>
    <x v="0"/>
    <x v="2"/>
    <x v="1"/>
    <d v="2022-03-15T00:00:00"/>
    <n v="3499.95"/>
  </r>
  <r>
    <s v="TRX0153"/>
    <x v="90"/>
    <s v="CUST049"/>
    <s v="Raymond Ross"/>
    <s v="P010"/>
    <x v="8"/>
    <x v="0"/>
    <n v="3"/>
    <n v="89.99"/>
    <x v="1"/>
    <x v="2"/>
    <x v="2"/>
    <d v="2022-02-23T00:00:00"/>
    <n v="269.97000000000003"/>
  </r>
  <r>
    <s v="TRX0057"/>
    <x v="91"/>
    <s v="CUST023"/>
    <s v="Paul Baker"/>
    <s v="P009"/>
    <x v="0"/>
    <x v="0"/>
    <n v="5"/>
    <n v="249.99"/>
    <x v="1"/>
    <x v="1"/>
    <x v="2"/>
    <d v="2022-11-16T00:00:00"/>
    <n v="1249.95"/>
  </r>
  <r>
    <s v="TRX0017"/>
    <x v="92"/>
    <s v="CUST026"/>
    <s v="Karen Hill"/>
    <s v="P007"/>
    <x v="6"/>
    <x v="2"/>
    <n v="3"/>
    <n v="299.99"/>
    <x v="1"/>
    <x v="1"/>
    <x v="2"/>
    <d v="2021-11-02T00:00:00"/>
    <n v="899.97"/>
  </r>
  <r>
    <s v="TRX0060"/>
    <x v="93"/>
    <s v="CUST012"/>
    <s v="Patricia Moore"/>
    <s v="P010"/>
    <x v="8"/>
    <x v="0"/>
    <n v="3"/>
    <n v="89.99"/>
    <x v="1"/>
    <x v="2"/>
    <x v="1"/>
    <d v="2021-08-12T00:00:00"/>
    <n v="269.97000000000003"/>
  </r>
  <r>
    <s v="TRX0109"/>
    <x v="94"/>
    <s v="CUST010"/>
    <s v="Maria Garcia"/>
    <s v="P008"/>
    <x v="2"/>
    <x v="2"/>
    <n v="2"/>
    <n v="149.99"/>
    <x v="1"/>
    <x v="3"/>
    <x v="1"/>
    <d v="2022-10-14T00:00:00"/>
    <n v="299.98"/>
  </r>
  <r>
    <s v="TRX0090"/>
    <x v="95"/>
    <s v="CUST020"/>
    <s v="Margaret Wright"/>
    <s v="P009"/>
    <x v="0"/>
    <x v="0"/>
    <n v="1"/>
    <n v="249.99"/>
    <x v="1"/>
    <x v="2"/>
    <x v="1"/>
    <d v="2022-09-24T00:00:00"/>
    <n v="249.99"/>
  </r>
  <r>
    <s v="TRX0035"/>
    <x v="96"/>
    <s v="CUST041"/>
    <s v="Peter Richardson"/>
    <s v="P003"/>
    <x v="3"/>
    <x v="0"/>
    <n v="3"/>
    <n v="149.99"/>
    <x v="0"/>
    <x v="2"/>
    <x v="0"/>
    <d v="2022-07-27T00:00:00"/>
    <n v="449.97"/>
  </r>
  <r>
    <s v="TRX0172"/>
    <x v="96"/>
    <s v="CUST023"/>
    <s v="Paul Baker"/>
    <s v="P005"/>
    <x v="1"/>
    <x v="1"/>
    <n v="5"/>
    <n v="59.99"/>
    <x v="2"/>
    <x v="3"/>
    <x v="1"/>
    <d v="2022-05-13T00:00:00"/>
    <n v="299.95"/>
  </r>
  <r>
    <s v="TRX0076"/>
    <x v="96"/>
    <s v="CUST012"/>
    <s v="Patricia Moore"/>
    <s v="P009"/>
    <x v="0"/>
    <x v="0"/>
    <n v="4"/>
    <n v="249.99"/>
    <x v="1"/>
    <x v="3"/>
    <x v="2"/>
    <d v="2022-04-08T00:00:00"/>
    <n v="999.96"/>
  </r>
  <r>
    <s v="TRX0210"/>
    <x v="97"/>
    <s v="CUST004"/>
    <s v="Sarah Davis"/>
    <s v="P008"/>
    <x v="2"/>
    <x v="2"/>
    <n v="5"/>
    <n v="149.99"/>
    <x v="2"/>
    <x v="0"/>
    <x v="0"/>
    <d v="2022-12-06T00:00:00"/>
    <n v="749.95"/>
  </r>
  <r>
    <s v="TRX0149"/>
    <x v="97"/>
    <s v="CUST027"/>
    <s v="George Adams"/>
    <s v="P005"/>
    <x v="1"/>
    <x v="1"/>
    <n v="3"/>
    <n v="59.99"/>
    <x v="3"/>
    <x v="1"/>
    <x v="2"/>
    <d v="2023-11-30T00:00:00"/>
    <n v="179.97"/>
  </r>
  <r>
    <s v="TRX0073"/>
    <x v="98"/>
    <s v="CUST032"/>
    <s v="Sandra Phillips"/>
    <s v="P008"/>
    <x v="2"/>
    <x v="2"/>
    <n v="5"/>
    <n v="149.99"/>
    <x v="0"/>
    <x v="2"/>
    <x v="0"/>
    <d v="2022-11-04T00:00:00"/>
    <n v="749.95"/>
  </r>
  <r>
    <s v="TRX0033"/>
    <x v="98"/>
    <s v="CUST025"/>
    <s v="Mark Carter"/>
    <s v="P002"/>
    <x v="5"/>
    <x v="0"/>
    <n v="2"/>
    <n v="699.99"/>
    <x v="2"/>
    <x v="3"/>
    <x v="2"/>
    <d v="2022-07-28T00:00:00"/>
    <n v="1399.98"/>
  </r>
  <r>
    <s v="TRX0160"/>
    <x v="99"/>
    <s v="CUST029"/>
    <s v="Edward Mitchell"/>
    <s v="P006"/>
    <x v="9"/>
    <x v="2"/>
    <n v="4"/>
    <n v="199.99"/>
    <x v="3"/>
    <x v="0"/>
    <x v="1"/>
    <d v="2021-08-19T00:00:00"/>
    <n v="799.96"/>
  </r>
  <r>
    <s v="TRX0145"/>
    <x v="100"/>
    <s v="CUST033"/>
    <s v="Frank Torres"/>
    <s v="P005"/>
    <x v="1"/>
    <x v="1"/>
    <n v="1"/>
    <n v="59.99"/>
    <x v="3"/>
    <x v="3"/>
    <x v="2"/>
    <d v="2021-12-30T00:00:00"/>
    <n v="59.99"/>
  </r>
  <r>
    <s v="TRX0148"/>
    <x v="100"/>
    <s v="CUST004"/>
    <s v="Sarah Davis"/>
    <s v="P002"/>
    <x v="5"/>
    <x v="0"/>
    <n v="3"/>
    <n v="699.99"/>
    <x v="2"/>
    <x v="3"/>
    <x v="2"/>
    <d v="2022-01-22T00:00:00"/>
    <n v="2099.9699999999998"/>
  </r>
  <r>
    <s v="TRX0012"/>
    <x v="101"/>
    <s v="CUST045"/>
    <s v="Douglas Watson"/>
    <s v="P009"/>
    <x v="0"/>
    <x v="0"/>
    <n v="5"/>
    <n v="249.99"/>
    <x v="1"/>
    <x v="2"/>
    <x v="0"/>
    <d v="2022-11-08T00:00:00"/>
    <n v="1249.95"/>
  </r>
  <r>
    <s v="TRX0206"/>
    <x v="102"/>
    <s v="CUST014"/>
    <s v="Linda Martin"/>
    <s v="P008"/>
    <x v="2"/>
    <x v="2"/>
    <n v="2"/>
    <n v="149.99"/>
    <x v="0"/>
    <x v="1"/>
    <x v="2"/>
    <d v="2023-06-24T00:00:00"/>
    <n v="299.98"/>
  </r>
  <r>
    <s v="TRX0045"/>
    <x v="103"/>
    <s v="CUST021"/>
    <s v="Kevin Scott"/>
    <s v="P007"/>
    <x v="6"/>
    <x v="2"/>
    <n v="3"/>
    <n v="299.99"/>
    <x v="0"/>
    <x v="1"/>
    <x v="1"/>
    <d v="2022-04-08T00:00:00"/>
    <n v="899.97"/>
  </r>
  <r>
    <s v="TRX0094"/>
    <x v="103"/>
    <s v="CUST017"/>
    <s v="Charles Allen"/>
    <s v="P009"/>
    <x v="0"/>
    <x v="0"/>
    <n v="5"/>
    <n v="249.99"/>
    <x v="0"/>
    <x v="0"/>
    <x v="1"/>
    <d v="2021-10-16T00:00:00"/>
    <n v="1249.95"/>
  </r>
  <r>
    <s v="TRX0133"/>
    <x v="103"/>
    <s v="CUST013"/>
    <s v="Joseph Jackson"/>
    <s v="P003"/>
    <x v="3"/>
    <x v="0"/>
    <n v="2"/>
    <n v="149.99"/>
    <x v="0"/>
    <x v="1"/>
    <x v="1"/>
    <d v="2021-10-06T00:00:00"/>
    <n v="299.98"/>
  </r>
  <r>
    <s v="TRX0201"/>
    <x v="103"/>
    <s v="CUST025"/>
    <s v="Mark Carter"/>
    <s v="P002"/>
    <x v="5"/>
    <x v="0"/>
    <n v="5"/>
    <n v="699.99"/>
    <x v="3"/>
    <x v="3"/>
    <x v="2"/>
    <d v="2023-01-18T00:00:00"/>
    <n v="3499.95"/>
  </r>
  <r>
    <s v="TRX0137"/>
    <x v="104"/>
    <s v="CUST011"/>
    <s v="William White"/>
    <s v="P009"/>
    <x v="0"/>
    <x v="0"/>
    <n v="4"/>
    <n v="249.99"/>
    <x v="2"/>
    <x v="4"/>
    <x v="1"/>
    <d v="2023-06-21T00:00:00"/>
    <n v="999.96"/>
  </r>
  <r>
    <s v="TRX0066"/>
    <x v="105"/>
    <s v="CUST024"/>
    <s v="Dorothy Nelson"/>
    <s v="P002"/>
    <x v="5"/>
    <x v="0"/>
    <n v="4"/>
    <n v="699.99"/>
    <x v="1"/>
    <x v="2"/>
    <x v="1"/>
    <d v="2022-05-22T00:00:00"/>
    <n v="2799.96"/>
  </r>
  <r>
    <s v="TRX0180"/>
    <x v="106"/>
    <s v="CUST036"/>
    <s v="Nancy Collins"/>
    <s v="P009"/>
    <x v="0"/>
    <x v="0"/>
    <n v="2"/>
    <n v="249.99"/>
    <x v="1"/>
    <x v="0"/>
    <x v="1"/>
    <d v="2021-07-19T00:00:00"/>
    <n v="499.98"/>
  </r>
  <r>
    <s v="TRX0082"/>
    <x v="106"/>
    <s v="CUST005"/>
    <s v="James Johnson"/>
    <s v="P005"/>
    <x v="1"/>
    <x v="1"/>
    <n v="3"/>
    <n v="59.99"/>
    <x v="0"/>
    <x v="0"/>
    <x v="1"/>
    <d v="2023-05-06T00:00:00"/>
    <n v="179.97"/>
  </r>
  <r>
    <s v="TRX0036"/>
    <x v="106"/>
    <s v="CUST008"/>
    <s v="Jennifer Taylor"/>
    <s v="P004"/>
    <x v="7"/>
    <x v="1"/>
    <n v="4"/>
    <n v="79.989999999999995"/>
    <x v="3"/>
    <x v="4"/>
    <x v="2"/>
    <d v="2022-12-26T00:00:00"/>
    <n v="319.95999999999998"/>
  </r>
  <r>
    <s v="TRX0198"/>
    <x v="107"/>
    <s v="CUST030"/>
    <s v="Helen Roberts"/>
    <s v="P004"/>
    <x v="7"/>
    <x v="1"/>
    <n v="3"/>
    <n v="79.989999999999995"/>
    <x v="3"/>
    <x v="4"/>
    <x v="2"/>
    <d v="2022-08-06T00:00:00"/>
    <n v="239.97"/>
  </r>
  <r>
    <s v="TRX0032"/>
    <x v="108"/>
    <s v="CUST041"/>
    <s v="Peter Richardson"/>
    <s v="P001"/>
    <x v="4"/>
    <x v="0"/>
    <n v="2"/>
    <n v="899.99"/>
    <x v="0"/>
    <x v="2"/>
    <x v="0"/>
    <d v="2021-07-29T00:00:00"/>
    <n v="1799.98"/>
  </r>
  <r>
    <s v="TRX0081"/>
    <x v="109"/>
    <s v="CUST007"/>
    <s v="David Martinez"/>
    <s v="P008"/>
    <x v="2"/>
    <x v="2"/>
    <n v="1"/>
    <n v="149.99"/>
    <x v="3"/>
    <x v="4"/>
    <x v="2"/>
    <d v="2023-10-01T00:00:00"/>
    <n v="149.99"/>
  </r>
  <r>
    <s v="TRX0224"/>
    <x v="109"/>
    <s v="CUST031"/>
    <s v="Steven Turner"/>
    <s v="P007"/>
    <x v="6"/>
    <x v="2"/>
    <n v="2"/>
    <n v="299.99"/>
    <x v="0"/>
    <x v="4"/>
    <x v="1"/>
    <d v="2022-06-12T00:00:00"/>
    <n v="599.98"/>
  </r>
  <r>
    <s v="TRX0028"/>
    <x v="110"/>
    <s v="CUST002"/>
    <s v="Emma Wilson"/>
    <s v="P005"/>
    <x v="1"/>
    <x v="1"/>
    <n v="2"/>
    <n v="59.99"/>
    <x v="0"/>
    <x v="3"/>
    <x v="0"/>
    <d v="2023-09-22T00:00:00"/>
    <n v="119.98"/>
  </r>
  <r>
    <s v="TRX0183"/>
    <x v="111"/>
    <s v="CUST007"/>
    <s v="David Martinez"/>
    <s v="P010"/>
    <x v="8"/>
    <x v="0"/>
    <n v="1"/>
    <n v="89.99"/>
    <x v="3"/>
    <x v="0"/>
    <x v="2"/>
    <d v="2022-07-18T00:00:00"/>
    <n v="89.99"/>
  </r>
  <r>
    <s v="TRX0163"/>
    <x v="111"/>
    <s v="CUST019"/>
    <s v="Daniel King"/>
    <s v="P001"/>
    <x v="4"/>
    <x v="0"/>
    <n v="5"/>
    <n v="899.99"/>
    <x v="3"/>
    <x v="4"/>
    <x v="2"/>
    <d v="2022-03-05T00:00:00"/>
    <n v="4499.95"/>
  </r>
  <r>
    <s v="TRX0046"/>
    <x v="112"/>
    <s v="CUST003"/>
    <s v="Michael Brown"/>
    <s v="P008"/>
    <x v="2"/>
    <x v="2"/>
    <n v="2"/>
    <n v="149.99"/>
    <x v="0"/>
    <x v="1"/>
    <x v="0"/>
    <d v="2023-11-09T00:00:00"/>
    <n v="299.98"/>
  </r>
  <r>
    <s v="TRX0164"/>
    <x v="113"/>
    <s v="CUST014"/>
    <s v="Linda Martin"/>
    <s v="P003"/>
    <x v="3"/>
    <x v="0"/>
    <n v="2"/>
    <n v="149.99"/>
    <x v="3"/>
    <x v="3"/>
    <x v="1"/>
    <d v="2023-12-20T00:00:00"/>
    <n v="299.98"/>
  </r>
  <r>
    <s v="TRX0008"/>
    <x v="113"/>
    <s v="CUST007"/>
    <s v="David Martinez"/>
    <s v="P008"/>
    <x v="2"/>
    <x v="2"/>
    <n v="3"/>
    <n v="149.99"/>
    <x v="3"/>
    <x v="2"/>
    <x v="2"/>
    <d v="2021-11-22T00:00:00"/>
    <n v="449.97"/>
  </r>
  <r>
    <s v="TRX0171"/>
    <x v="114"/>
    <s v="CUST021"/>
    <s v="Kevin Scott"/>
    <s v="P007"/>
    <x v="6"/>
    <x v="2"/>
    <n v="2"/>
    <n v="299.99"/>
    <x v="2"/>
    <x v="1"/>
    <x v="0"/>
    <d v="2022-06-09T00:00:00"/>
    <n v="599.98"/>
  </r>
  <r>
    <s v="TRX0143"/>
    <x v="115"/>
    <s v="CUST003"/>
    <s v="Michael Brown"/>
    <s v="P007"/>
    <x v="6"/>
    <x v="2"/>
    <n v="2"/>
    <n v="299.99"/>
    <x v="0"/>
    <x v="3"/>
    <x v="0"/>
    <d v="2022-07-29T00:00:00"/>
    <n v="599.98"/>
  </r>
  <r>
    <s v="TRX0165"/>
    <x v="115"/>
    <s v="CUST030"/>
    <s v="Helen Roberts"/>
    <s v="P006"/>
    <x v="9"/>
    <x v="2"/>
    <n v="4"/>
    <n v="199.99"/>
    <x v="1"/>
    <x v="0"/>
    <x v="0"/>
    <d v="2021-11-23T00:00:00"/>
    <n v="799.96"/>
  </r>
  <r>
    <s v="TRX0156"/>
    <x v="116"/>
    <s v="CUST009"/>
    <s v="Robert Thomas"/>
    <s v="P010"/>
    <x v="8"/>
    <x v="0"/>
    <n v="1"/>
    <n v="89.99"/>
    <x v="1"/>
    <x v="1"/>
    <x v="1"/>
    <d v="2022-01-30T00:00:00"/>
    <n v="89.99"/>
  </r>
  <r>
    <s v="TRX0147"/>
    <x v="116"/>
    <s v="CUST036"/>
    <s v="Nancy Collins"/>
    <s v="P008"/>
    <x v="2"/>
    <x v="2"/>
    <n v="5"/>
    <n v="149.99"/>
    <x v="0"/>
    <x v="0"/>
    <x v="1"/>
    <d v="2024-02-25T00:00:00"/>
    <n v="749.95"/>
  </r>
  <r>
    <s v="TRX0207"/>
    <x v="117"/>
    <s v="CUST025"/>
    <s v="Mark Carter"/>
    <s v="P001"/>
    <x v="4"/>
    <x v="0"/>
    <n v="1"/>
    <n v="899.99"/>
    <x v="2"/>
    <x v="2"/>
    <x v="1"/>
    <d v="2023-05-04T00:00:00"/>
    <n v="899.99"/>
  </r>
  <r>
    <s v="TRX0056"/>
    <x v="118"/>
    <s v="CUST019"/>
    <s v="Daniel King"/>
    <s v="P010"/>
    <x v="8"/>
    <x v="0"/>
    <n v="2"/>
    <n v="89.99"/>
    <x v="1"/>
    <x v="1"/>
    <x v="1"/>
    <d v="2022-01-03T00:00:00"/>
    <n v="179.98"/>
  </r>
  <r>
    <s v="TRX0026"/>
    <x v="119"/>
    <s v="CUST037"/>
    <s v="Arthur Edwards"/>
    <s v="P001"/>
    <x v="4"/>
    <x v="0"/>
    <n v="1"/>
    <n v="899.99"/>
    <x v="2"/>
    <x v="2"/>
    <x v="2"/>
    <d v="2022-07-10T00:00:00"/>
    <n v="899.99"/>
  </r>
  <r>
    <s v="TRX0237"/>
    <x v="120"/>
    <s v="CUST006"/>
    <s v="Lisa Anderson"/>
    <s v="P003"/>
    <x v="3"/>
    <x v="0"/>
    <n v="5"/>
    <n v="149.99"/>
    <x v="2"/>
    <x v="4"/>
    <x v="1"/>
    <d v="2022-09-20T00:00:00"/>
    <n v="749.95"/>
  </r>
  <r>
    <s v="TRX0091"/>
    <x v="120"/>
    <s v="CUST003"/>
    <s v="Michael Brown"/>
    <s v="P007"/>
    <x v="6"/>
    <x v="2"/>
    <n v="3"/>
    <n v="299.99"/>
    <x v="0"/>
    <x v="1"/>
    <x v="2"/>
    <d v="2021-08-14T00:00:00"/>
    <n v="899.97"/>
  </r>
  <r>
    <s v="TRX0125"/>
    <x v="121"/>
    <s v="CUST026"/>
    <s v="Karen Hill"/>
    <s v="P002"/>
    <x v="5"/>
    <x v="0"/>
    <n v="3"/>
    <n v="699.99"/>
    <x v="1"/>
    <x v="0"/>
    <x v="1"/>
    <d v="2023-06-28T00:00:00"/>
    <n v="2099.9699999999998"/>
  </r>
  <r>
    <s v="TRX0223"/>
    <x v="122"/>
    <s v="CUST036"/>
    <s v="Nancy Collins"/>
    <s v="P006"/>
    <x v="9"/>
    <x v="2"/>
    <n v="5"/>
    <n v="199.99"/>
    <x v="2"/>
    <x v="0"/>
    <x v="2"/>
    <d v="2022-03-13T00:00:00"/>
    <n v="999.95"/>
  </r>
  <r>
    <s v="TRX0243"/>
    <x v="122"/>
    <s v="CUST048"/>
    <s v="Virginia Sanders"/>
    <s v="P009"/>
    <x v="0"/>
    <x v="0"/>
    <n v="5"/>
    <n v="249.99"/>
    <x v="1"/>
    <x v="1"/>
    <x v="0"/>
    <d v="2024-02-08T00:00:00"/>
    <n v="1249.95"/>
  </r>
  <r>
    <s v="TRX0084"/>
    <x v="123"/>
    <s v="CUST031"/>
    <s v="Steven Turner"/>
    <s v="P003"/>
    <x v="3"/>
    <x v="0"/>
    <n v="4"/>
    <n v="149.99"/>
    <x v="3"/>
    <x v="4"/>
    <x v="2"/>
    <d v="2021-12-06T00:00:00"/>
    <n v="599.96"/>
  </r>
  <r>
    <s v="TRX0238"/>
    <x v="123"/>
    <s v="CUST038"/>
    <s v="Michelle Rogers"/>
    <s v="P002"/>
    <x v="5"/>
    <x v="0"/>
    <n v="3"/>
    <n v="699.99"/>
    <x v="0"/>
    <x v="2"/>
    <x v="1"/>
    <d v="2022-02-10T00:00:00"/>
    <n v="2099.9699999999998"/>
  </r>
  <r>
    <s v="TRX0102"/>
    <x v="124"/>
    <s v="CUST045"/>
    <s v="Douglas Watson"/>
    <s v="P004"/>
    <x v="7"/>
    <x v="1"/>
    <n v="1"/>
    <n v="79.989999999999995"/>
    <x v="1"/>
    <x v="1"/>
    <x v="0"/>
    <d v="2024-01-31T00:00:00"/>
    <n v="79.989999999999995"/>
  </r>
  <r>
    <s v="TRX0022"/>
    <x v="124"/>
    <s v="CUST025"/>
    <s v="Mark Carter"/>
    <s v="P007"/>
    <x v="6"/>
    <x v="2"/>
    <n v="1"/>
    <n v="299.99"/>
    <x v="1"/>
    <x v="2"/>
    <x v="0"/>
    <d v="2021-08-28T00:00:00"/>
    <n v="299.99"/>
  </r>
  <r>
    <s v="TRX0087"/>
    <x v="125"/>
    <s v="CUST028"/>
    <s v="Betty Campbell"/>
    <s v="P009"/>
    <x v="0"/>
    <x v="0"/>
    <n v="4"/>
    <n v="249.99"/>
    <x v="1"/>
    <x v="2"/>
    <x v="1"/>
    <d v="2021-09-21T00:00:00"/>
    <n v="999.96"/>
  </r>
  <r>
    <s v="TRX0107"/>
    <x v="125"/>
    <s v="CUST030"/>
    <s v="Helen Roberts"/>
    <s v="P003"/>
    <x v="3"/>
    <x v="0"/>
    <n v="2"/>
    <n v="149.99"/>
    <x v="0"/>
    <x v="2"/>
    <x v="2"/>
    <d v="2022-12-18T00:00:00"/>
    <n v="299.98"/>
  </r>
  <r>
    <s v="TRX0051"/>
    <x v="125"/>
    <s v="CUST032"/>
    <s v="Sandra Phillips"/>
    <s v="P007"/>
    <x v="6"/>
    <x v="2"/>
    <n v="3"/>
    <n v="299.99"/>
    <x v="1"/>
    <x v="1"/>
    <x v="0"/>
    <d v="2023-10-05T00:00:00"/>
    <n v="899.97"/>
  </r>
  <r>
    <s v="TRX0106"/>
    <x v="126"/>
    <s v="CUST039"/>
    <s v="Lawrence Reed"/>
    <s v="P006"/>
    <x v="9"/>
    <x v="2"/>
    <n v="4"/>
    <n v="199.99"/>
    <x v="3"/>
    <x v="1"/>
    <x v="2"/>
    <d v="2021-12-14T00:00:00"/>
    <n v="799.96"/>
  </r>
  <r>
    <s v="TRX0059"/>
    <x v="126"/>
    <s v="CUST016"/>
    <s v="Elizabeth Hall"/>
    <s v="P007"/>
    <x v="6"/>
    <x v="2"/>
    <n v="5"/>
    <n v="299.99"/>
    <x v="3"/>
    <x v="0"/>
    <x v="0"/>
    <d v="2021-08-23T00:00:00"/>
    <n v="1499.95"/>
  </r>
  <r>
    <s v="TRX0072"/>
    <x v="126"/>
    <s v="CUST009"/>
    <s v="Robert Thomas"/>
    <s v="P008"/>
    <x v="2"/>
    <x v="2"/>
    <n v="3"/>
    <n v="149.99"/>
    <x v="1"/>
    <x v="4"/>
    <x v="2"/>
    <d v="2021-07-18T00:00:00"/>
    <n v="449.97"/>
  </r>
  <r>
    <s v="TRX0110"/>
    <x v="127"/>
    <s v="CUST006"/>
    <s v="Lisa Anderson"/>
    <s v="P005"/>
    <x v="1"/>
    <x v="1"/>
    <n v="5"/>
    <n v="59.99"/>
    <x v="3"/>
    <x v="4"/>
    <x v="0"/>
    <d v="2022-03-22T00:00:00"/>
    <n v="299.95"/>
  </r>
  <r>
    <s v="TRX0126"/>
    <x v="128"/>
    <s v="CUST022"/>
    <s v="Susan Green"/>
    <s v="P005"/>
    <x v="1"/>
    <x v="1"/>
    <n v="4"/>
    <n v="59.99"/>
    <x v="3"/>
    <x v="4"/>
    <x v="2"/>
    <d v="2022-01-03T00:00:00"/>
    <n v="239.96"/>
  </r>
  <r>
    <s v="TRX0159"/>
    <x v="129"/>
    <s v="CUST024"/>
    <s v="Dorothy Nelson"/>
    <s v="P009"/>
    <x v="0"/>
    <x v="0"/>
    <n v="4"/>
    <n v="249.99"/>
    <x v="3"/>
    <x v="0"/>
    <x v="1"/>
    <d v="2023-10-18T00:00:00"/>
    <n v="999.96"/>
  </r>
  <r>
    <s v="TRX0030"/>
    <x v="130"/>
    <s v="CUST011"/>
    <s v="William White"/>
    <s v="P001"/>
    <x v="4"/>
    <x v="0"/>
    <n v="4"/>
    <n v="899.99"/>
    <x v="2"/>
    <x v="0"/>
    <x v="0"/>
    <d v="2022-06-22T00:00:00"/>
    <n v="3599.96"/>
  </r>
  <r>
    <s v="TRX0178"/>
    <x v="130"/>
    <s v="CUST025"/>
    <s v="Mark Carter"/>
    <s v="P007"/>
    <x v="6"/>
    <x v="2"/>
    <n v="3"/>
    <n v="299.99"/>
    <x v="3"/>
    <x v="3"/>
    <x v="2"/>
    <d v="2023-01-26T00:00:00"/>
    <n v="899.97"/>
  </r>
  <r>
    <s v="TRX0188"/>
    <x v="130"/>
    <s v="CUST045"/>
    <s v="Douglas Watson"/>
    <s v="P002"/>
    <x v="5"/>
    <x v="0"/>
    <n v="2"/>
    <n v="699.99"/>
    <x v="3"/>
    <x v="0"/>
    <x v="1"/>
    <d v="2022-04-30T00:00:00"/>
    <n v="1399.98"/>
  </r>
  <r>
    <s v="TRX0010"/>
    <x v="131"/>
    <s v="CUST026"/>
    <s v="Karen Hill"/>
    <s v="P002"/>
    <x v="5"/>
    <x v="0"/>
    <n v="4"/>
    <n v="699.99"/>
    <x v="3"/>
    <x v="3"/>
    <x v="1"/>
    <d v="2022-05-11T00:00:00"/>
    <n v="2799.96"/>
  </r>
  <r>
    <s v="TRX0069"/>
    <x v="131"/>
    <s v="CUST029"/>
    <s v="Edward Mitchell"/>
    <s v="P010"/>
    <x v="8"/>
    <x v="0"/>
    <n v="2"/>
    <n v="89.99"/>
    <x v="3"/>
    <x v="1"/>
    <x v="0"/>
    <d v="2022-08-04T00:00:00"/>
    <n v="179.98"/>
  </r>
  <r>
    <s v="TRX0166"/>
    <x v="131"/>
    <s v="CUST003"/>
    <s v="Michael Brown"/>
    <s v="P010"/>
    <x v="8"/>
    <x v="0"/>
    <n v="3"/>
    <n v="89.99"/>
    <x v="3"/>
    <x v="1"/>
    <x v="1"/>
    <d v="2024-01-16T00:00:00"/>
    <n v="269.97000000000003"/>
  </r>
  <r>
    <s v="TRX0219"/>
    <x v="132"/>
    <s v="CUST037"/>
    <s v="Arthur Edwards"/>
    <s v="P005"/>
    <x v="1"/>
    <x v="1"/>
    <n v="1"/>
    <n v="59.99"/>
    <x v="3"/>
    <x v="0"/>
    <x v="2"/>
    <d v="2023-04-29T00:00:00"/>
    <n v="59.99"/>
  </r>
  <r>
    <s v="TRX0024"/>
    <x v="133"/>
    <s v="CUST042"/>
    <s v="Ruth Brooks"/>
    <s v="P008"/>
    <x v="2"/>
    <x v="2"/>
    <n v="3"/>
    <n v="149.99"/>
    <x v="3"/>
    <x v="2"/>
    <x v="1"/>
    <d v="2022-01-03T00:00:00"/>
    <n v="449.97"/>
  </r>
  <r>
    <s v="TRX0105"/>
    <x v="133"/>
    <s v="CUST048"/>
    <s v="Virginia Sanders"/>
    <s v="P007"/>
    <x v="6"/>
    <x v="2"/>
    <n v="5"/>
    <n v="299.99"/>
    <x v="1"/>
    <x v="1"/>
    <x v="0"/>
    <d v="2023-02-02T00:00:00"/>
    <n v="1499.95"/>
  </r>
  <r>
    <s v="TRX0011"/>
    <x v="134"/>
    <s v="CUST040"/>
    <s v="Sharon Butler"/>
    <s v="P005"/>
    <x v="1"/>
    <x v="1"/>
    <n v="5"/>
    <n v="59.99"/>
    <x v="3"/>
    <x v="0"/>
    <x v="2"/>
    <d v="2023-09-08T00:00:00"/>
    <n v="299.95"/>
  </r>
  <r>
    <s v="TRX0187"/>
    <x v="135"/>
    <s v="CUST036"/>
    <s v="Nancy Collins"/>
    <s v="P004"/>
    <x v="7"/>
    <x v="1"/>
    <n v="3"/>
    <n v="79.989999999999995"/>
    <x v="0"/>
    <x v="4"/>
    <x v="1"/>
    <d v="2021-08-28T00:00:00"/>
    <n v="239.97"/>
  </r>
  <r>
    <s v="TRX0089"/>
    <x v="136"/>
    <s v="CUST021"/>
    <s v="Kevin Scott"/>
    <s v="P006"/>
    <x v="9"/>
    <x v="2"/>
    <n v="3"/>
    <n v="199.99"/>
    <x v="0"/>
    <x v="0"/>
    <x v="0"/>
    <d v="2022-06-23T00:00:00"/>
    <n v="599.97"/>
  </r>
  <r>
    <s v="TRX0196"/>
    <x v="136"/>
    <s v="CUST023"/>
    <s v="Paul Baker"/>
    <s v="P010"/>
    <x v="8"/>
    <x v="0"/>
    <n v="2"/>
    <n v="89.99"/>
    <x v="2"/>
    <x v="0"/>
    <x v="0"/>
    <d v="2023-11-27T00:00:00"/>
    <n v="179.98"/>
  </r>
  <r>
    <s v="TRX0118"/>
    <x v="137"/>
    <s v="CUST015"/>
    <s v="Richard Lee"/>
    <s v="P008"/>
    <x v="2"/>
    <x v="2"/>
    <n v="2"/>
    <n v="149.99"/>
    <x v="0"/>
    <x v="1"/>
    <x v="1"/>
    <d v="2022-06-16T00:00:00"/>
    <n v="299.98"/>
  </r>
  <r>
    <s v="TRX0179"/>
    <x v="138"/>
    <s v="CUST029"/>
    <s v="Edward Mitchell"/>
    <s v="P002"/>
    <x v="5"/>
    <x v="0"/>
    <n v="5"/>
    <n v="699.99"/>
    <x v="2"/>
    <x v="1"/>
    <x v="1"/>
    <d v="2024-03-01T00:00:00"/>
    <n v="3499.95"/>
  </r>
  <r>
    <s v="TRX0168"/>
    <x v="138"/>
    <s v="CUST003"/>
    <s v="Michael Brown"/>
    <s v="P008"/>
    <x v="2"/>
    <x v="2"/>
    <n v="3"/>
    <n v="149.99"/>
    <x v="2"/>
    <x v="0"/>
    <x v="2"/>
    <d v="2022-03-13T00:00:00"/>
    <n v="449.97"/>
  </r>
  <r>
    <s v="TRX0214"/>
    <x v="139"/>
    <s v="CUST018"/>
    <s v="Barbara Young"/>
    <s v="P001"/>
    <x v="4"/>
    <x v="0"/>
    <n v="3"/>
    <n v="899.99"/>
    <x v="0"/>
    <x v="4"/>
    <x v="2"/>
    <d v="2022-02-21T00:00:00"/>
    <n v="2699.97"/>
  </r>
  <r>
    <s v="TRX0221"/>
    <x v="139"/>
    <s v="CUST033"/>
    <s v="Frank Torres"/>
    <s v="P006"/>
    <x v="9"/>
    <x v="2"/>
    <n v="3"/>
    <n v="199.99"/>
    <x v="0"/>
    <x v="3"/>
    <x v="1"/>
    <d v="2022-09-19T00:00:00"/>
    <n v="599.97"/>
  </r>
  <r>
    <s v="TRX0083"/>
    <x v="140"/>
    <s v="CUST017"/>
    <s v="Charles Allen"/>
    <s v="P007"/>
    <x v="6"/>
    <x v="2"/>
    <n v="5"/>
    <n v="299.99"/>
    <x v="0"/>
    <x v="3"/>
    <x v="2"/>
    <d v="2023-08-04T00:00:00"/>
    <n v="1499.95"/>
  </r>
  <r>
    <s v="TRX0151"/>
    <x v="140"/>
    <s v="CUST040"/>
    <s v="Sharon Butler"/>
    <s v="P002"/>
    <x v="5"/>
    <x v="0"/>
    <n v="1"/>
    <n v="699.99"/>
    <x v="2"/>
    <x v="3"/>
    <x v="0"/>
    <d v="2023-01-08T00:00:00"/>
    <n v="699.99"/>
  </r>
  <r>
    <s v="TRX0047"/>
    <x v="141"/>
    <s v="CUST042"/>
    <s v="Ruth Brooks"/>
    <s v="P002"/>
    <x v="5"/>
    <x v="0"/>
    <n v="1"/>
    <n v="699.99"/>
    <x v="0"/>
    <x v="2"/>
    <x v="1"/>
    <d v="2022-01-22T00:00:00"/>
    <n v="699.99"/>
  </r>
  <r>
    <s v="TRX0200"/>
    <x v="141"/>
    <s v="CUST037"/>
    <s v="Arthur Edwards"/>
    <s v="P008"/>
    <x v="2"/>
    <x v="2"/>
    <n v="4"/>
    <n v="149.99"/>
    <x v="2"/>
    <x v="2"/>
    <x v="1"/>
    <d v="2021-08-04T00:00:00"/>
    <n v="599.96"/>
  </r>
  <r>
    <s v="TRX0062"/>
    <x v="141"/>
    <s v="CUST016"/>
    <s v="Elizabeth Hall"/>
    <s v="P010"/>
    <x v="8"/>
    <x v="0"/>
    <n v="5"/>
    <n v="89.99"/>
    <x v="2"/>
    <x v="3"/>
    <x v="1"/>
    <d v="2023-08-02T00:00:00"/>
    <n v="449.95"/>
  </r>
  <r>
    <s v="TRX0182"/>
    <x v="142"/>
    <s v="CUST031"/>
    <s v="Steven Turner"/>
    <s v="P006"/>
    <x v="9"/>
    <x v="2"/>
    <n v="2"/>
    <n v="199.99"/>
    <x v="0"/>
    <x v="0"/>
    <x v="1"/>
    <d v="2022-01-12T00:00:00"/>
    <n v="399.98"/>
  </r>
  <r>
    <s v="TRX0229"/>
    <x v="143"/>
    <s v="CUST015"/>
    <s v="Richard Lee"/>
    <s v="P005"/>
    <x v="1"/>
    <x v="1"/>
    <n v="4"/>
    <n v="59.99"/>
    <x v="0"/>
    <x v="3"/>
    <x v="2"/>
    <d v="2023-05-24T00:00:00"/>
    <n v="239.96"/>
  </r>
  <r>
    <s v="TRX0048"/>
    <x v="143"/>
    <s v="CUST048"/>
    <s v="Virginia Sanders"/>
    <s v="P007"/>
    <x v="6"/>
    <x v="2"/>
    <n v="2"/>
    <n v="299.99"/>
    <x v="2"/>
    <x v="1"/>
    <x v="0"/>
    <d v="2022-01-15T00:00:00"/>
    <n v="599.98"/>
  </r>
  <r>
    <s v="TRX0227"/>
    <x v="144"/>
    <s v="CUST017"/>
    <s v="Charles Allen"/>
    <s v="P008"/>
    <x v="2"/>
    <x v="2"/>
    <n v="2"/>
    <n v="149.99"/>
    <x v="0"/>
    <x v="0"/>
    <x v="0"/>
    <d v="2023-05-22T00:00:00"/>
    <n v="299.98"/>
  </r>
  <r>
    <s v="TRX0226"/>
    <x v="145"/>
    <s v="CUST039"/>
    <s v="Lawrence Reed"/>
    <s v="P002"/>
    <x v="5"/>
    <x v="0"/>
    <n v="5"/>
    <n v="699.99"/>
    <x v="3"/>
    <x v="4"/>
    <x v="1"/>
    <d v="2023-08-23T00:00:00"/>
    <n v="3499.95"/>
  </r>
  <r>
    <s v="TRX0053"/>
    <x v="146"/>
    <s v="CUST043"/>
    <s v="Dennis Gray"/>
    <s v="P005"/>
    <x v="1"/>
    <x v="1"/>
    <n v="5"/>
    <n v="59.99"/>
    <x v="0"/>
    <x v="3"/>
    <x v="1"/>
    <d v="2023-12-31T00:00:00"/>
    <n v="299.95"/>
  </r>
  <r>
    <s v="TRX0233"/>
    <x v="147"/>
    <s v="CUST023"/>
    <s v="Paul Baker"/>
    <s v="P010"/>
    <x v="8"/>
    <x v="0"/>
    <n v="2"/>
    <n v="89.99"/>
    <x v="1"/>
    <x v="3"/>
    <x v="1"/>
    <d v="2024-01-04T00:00:00"/>
    <n v="179.98"/>
  </r>
  <r>
    <s v="TRX0175"/>
    <x v="147"/>
    <s v="CUST030"/>
    <s v="Helen Roberts"/>
    <s v="P009"/>
    <x v="0"/>
    <x v="0"/>
    <n v="5"/>
    <n v="249.99"/>
    <x v="0"/>
    <x v="4"/>
    <x v="2"/>
    <d v="2021-12-10T00:00:00"/>
    <n v="1249.95"/>
  </r>
  <r>
    <s v="TRX0186"/>
    <x v="148"/>
    <s v="CUST039"/>
    <s v="Lawrence Reed"/>
    <s v="P008"/>
    <x v="2"/>
    <x v="2"/>
    <n v="2"/>
    <n v="149.99"/>
    <x v="2"/>
    <x v="0"/>
    <x v="1"/>
    <d v="2022-03-12T00:00:00"/>
    <n v="299.98"/>
  </r>
  <r>
    <s v="TRX0016"/>
    <x v="148"/>
    <s v="CUST035"/>
    <s v="Harry Morgan"/>
    <s v="P001"/>
    <x v="4"/>
    <x v="0"/>
    <n v="5"/>
    <n v="899.99"/>
    <x v="2"/>
    <x v="4"/>
    <x v="1"/>
    <d v="2024-04-07T00:00:00"/>
    <n v="4499.95"/>
  </r>
  <r>
    <s v="TRX0199"/>
    <x v="148"/>
    <s v="CUST017"/>
    <s v="Charles Allen"/>
    <s v="P008"/>
    <x v="2"/>
    <x v="2"/>
    <n v="4"/>
    <n v="149.99"/>
    <x v="0"/>
    <x v="0"/>
    <x v="2"/>
    <d v="2023-12-03T00:00:00"/>
    <n v="599.96"/>
  </r>
  <r>
    <s v="TRX0038"/>
    <x v="149"/>
    <s v="CUST035"/>
    <s v="Harry Morgan"/>
    <s v="P009"/>
    <x v="0"/>
    <x v="0"/>
    <n v="1"/>
    <n v="249.99"/>
    <x v="0"/>
    <x v="2"/>
    <x v="2"/>
    <d v="2023-07-10T00:00:00"/>
    <n v="249.99"/>
  </r>
  <r>
    <s v="TRX0014"/>
    <x v="150"/>
    <s v="CUST033"/>
    <s v="Frank Torres"/>
    <s v="P005"/>
    <x v="1"/>
    <x v="1"/>
    <n v="2"/>
    <n v="59.99"/>
    <x v="1"/>
    <x v="3"/>
    <x v="0"/>
    <d v="2023-09-24T00:00:00"/>
    <n v="119.98"/>
  </r>
  <r>
    <s v="TRX0003"/>
    <x v="151"/>
    <s v="CUST002"/>
    <s v="Emma Wilson"/>
    <s v="P008"/>
    <x v="2"/>
    <x v="2"/>
    <n v="2"/>
    <n v="149.99"/>
    <x v="0"/>
    <x v="3"/>
    <x v="1"/>
    <d v="2023-11-03T00:00:00"/>
    <n v="299.98"/>
  </r>
  <r>
    <s v="TRX0124"/>
    <x v="151"/>
    <s v="CUST040"/>
    <s v="Sharon Butler"/>
    <s v="P001"/>
    <x v="4"/>
    <x v="0"/>
    <n v="3"/>
    <n v="899.99"/>
    <x v="3"/>
    <x v="2"/>
    <x v="1"/>
    <d v="2022-11-11T00:00:00"/>
    <n v="2699.97"/>
  </r>
  <r>
    <s v="TRX0013"/>
    <x v="151"/>
    <s v="CUST024"/>
    <s v="Dorothy Nelson"/>
    <s v="P001"/>
    <x v="4"/>
    <x v="0"/>
    <n v="3"/>
    <n v="899.99"/>
    <x v="2"/>
    <x v="2"/>
    <x v="0"/>
    <d v="2023-02-18T00:00:00"/>
    <n v="2699.97"/>
  </r>
  <r>
    <s v="TRX0019"/>
    <x v="152"/>
    <s v="CUST023"/>
    <s v="Paul Baker"/>
    <s v="P007"/>
    <x v="6"/>
    <x v="2"/>
    <n v="3"/>
    <n v="299.99"/>
    <x v="1"/>
    <x v="3"/>
    <x v="1"/>
    <d v="2023-11-04T00:00:00"/>
    <n v="899.97"/>
  </r>
  <r>
    <s v="TRX0050"/>
    <x v="153"/>
    <s v="CUST001"/>
    <s v="John Smith"/>
    <s v="P008"/>
    <x v="2"/>
    <x v="2"/>
    <n v="4"/>
    <n v="149.99"/>
    <x v="2"/>
    <x v="3"/>
    <x v="2"/>
    <d v="2021-12-30T00:00:00"/>
    <n v="599.96"/>
  </r>
  <r>
    <s v="TRX0152"/>
    <x v="154"/>
    <s v="CUST044"/>
    <s v="Cynthia Price"/>
    <s v="P004"/>
    <x v="7"/>
    <x v="1"/>
    <n v="4"/>
    <n v="79.989999999999995"/>
    <x v="1"/>
    <x v="0"/>
    <x v="0"/>
    <d v="2023-12-28T00:00:00"/>
    <n v="319.95999999999998"/>
  </r>
  <r>
    <s v="TRX0213"/>
    <x v="155"/>
    <s v="CUST020"/>
    <s v="Margaret Wright"/>
    <s v="P010"/>
    <x v="8"/>
    <x v="0"/>
    <n v="5"/>
    <n v="89.99"/>
    <x v="2"/>
    <x v="1"/>
    <x v="0"/>
    <d v="2022-05-23T00:00:00"/>
    <n v="449.95"/>
  </r>
  <r>
    <s v="TRX0197"/>
    <x v="156"/>
    <s v="CUST048"/>
    <s v="Virginia Sanders"/>
    <s v="P008"/>
    <x v="2"/>
    <x v="2"/>
    <n v="3"/>
    <n v="149.99"/>
    <x v="2"/>
    <x v="0"/>
    <x v="2"/>
    <d v="2023-09-02T00:00:00"/>
    <n v="449.97"/>
  </r>
  <r>
    <s v="TRX0250"/>
    <x v="156"/>
    <s v="CUST026"/>
    <s v="Karen Hill"/>
    <s v="P010"/>
    <x v="8"/>
    <x v="0"/>
    <n v="2"/>
    <n v="89.99"/>
    <x v="3"/>
    <x v="3"/>
    <x v="1"/>
    <d v="2021-11-22T00:00:00"/>
    <n v="179.98"/>
  </r>
  <r>
    <s v="TRX0068"/>
    <x v="157"/>
    <s v="CUST044"/>
    <s v="Cynthia Price"/>
    <s v="P002"/>
    <x v="5"/>
    <x v="0"/>
    <n v="2"/>
    <n v="699.99"/>
    <x v="2"/>
    <x v="2"/>
    <x v="2"/>
    <d v="2022-02-26T00:00:00"/>
    <n v="1399.98"/>
  </r>
  <r>
    <s v="TRX0144"/>
    <x v="158"/>
    <s v="CUST029"/>
    <s v="Edward Mitchell"/>
    <s v="P001"/>
    <x v="4"/>
    <x v="0"/>
    <n v="3"/>
    <n v="899.99"/>
    <x v="0"/>
    <x v="0"/>
    <x v="2"/>
    <d v="2023-01-27T00:00:00"/>
    <n v="2699.97"/>
  </r>
  <r>
    <s v="TRX0039"/>
    <x v="159"/>
    <s v="CUST048"/>
    <s v="Virginia Sanders"/>
    <s v="P004"/>
    <x v="7"/>
    <x v="1"/>
    <n v="3"/>
    <n v="79.989999999999995"/>
    <x v="1"/>
    <x v="2"/>
    <x v="0"/>
    <d v="2021-11-11T00:00:00"/>
    <n v="239.97"/>
  </r>
  <r>
    <s v="TRX0116"/>
    <x v="160"/>
    <s v="CUST009"/>
    <s v="Robert Thomas"/>
    <s v="P010"/>
    <x v="8"/>
    <x v="0"/>
    <n v="1"/>
    <n v="89.99"/>
    <x v="3"/>
    <x v="4"/>
    <x v="0"/>
    <d v="2024-02-24T00:00:00"/>
    <n v="89.99"/>
  </r>
  <r>
    <s v="TRX0120"/>
    <x v="161"/>
    <s v="CUST045"/>
    <s v="Douglas Watson"/>
    <s v="P002"/>
    <x v="5"/>
    <x v="0"/>
    <n v="3"/>
    <n v="699.99"/>
    <x v="2"/>
    <x v="2"/>
    <x v="0"/>
    <d v="2022-12-14T00:00:00"/>
    <n v="2099.9699999999998"/>
  </r>
  <r>
    <s v="TRX0103"/>
    <x v="161"/>
    <s v="CUST039"/>
    <s v="Lawrence Reed"/>
    <s v="P010"/>
    <x v="8"/>
    <x v="0"/>
    <n v="2"/>
    <n v="89.99"/>
    <x v="3"/>
    <x v="4"/>
    <x v="0"/>
    <d v="2023-06-11T00:00:00"/>
    <n v="179.98"/>
  </r>
  <r>
    <s v="TRX0064"/>
    <x v="161"/>
    <s v="CUST031"/>
    <s v="Steven Turner"/>
    <s v="P010"/>
    <x v="8"/>
    <x v="0"/>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28804-882F-4C85-BB3B-6F4AEB9E3F8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5">
    <chartFormat chart="0"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6" count="1" selected="0">
            <x v="0"/>
          </reference>
        </references>
      </pivotArea>
    </chartFormat>
    <chartFormat chart="11" format="7">
      <pivotArea type="data" outline="0" fieldPosition="0">
        <references count="2">
          <reference field="4294967294" count="1" selected="0">
            <x v="0"/>
          </reference>
          <reference field="6" count="1" selected="0">
            <x v="1"/>
          </reference>
        </references>
      </pivotArea>
    </chartFormat>
    <chartFormat chart="11"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388855-A8E1-441F-A131-F00F0CA736B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numFmtId="164" showAll="0"/>
    <pivotField dataField="1" showAll="0"/>
    <pivotField showAll="0" defaultSubtota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Total_Amount" fld="13" baseField="0" baseItem="0"/>
  </dataFields>
  <chartFormats count="10">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 chart="8" format="9">
      <pivotArea type="data" outline="0" fieldPosition="0">
        <references count="2">
          <reference field="4294967294" count="1" selected="0">
            <x v="0"/>
          </reference>
          <reference field="9" count="1" selected="0">
            <x v="2"/>
          </reference>
        </references>
      </pivotArea>
    </chartFormat>
    <chartFormat chart="8"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A38DC9-D090-41CE-950F-5E42C6D7AAC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items count="4">
        <item x="1"/>
        <item x="0"/>
        <item x="2"/>
        <item t="default"/>
      </items>
    </pivotField>
    <pivotField showAll="0"/>
    <pivotField dataField="1" showAll="0"/>
    <pivotField showAll="0"/>
    <pivotField showAll="0"/>
    <pivotField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Unit_Price"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43CCD-D414-47A9-9A19-7B334865A48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C13" firstHeaderRow="0" firstDataRow="1" firstDataCol="1"/>
  <pivotFields count="17">
    <pivotField showAll="0"/>
    <pivotField axis="axisRow"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dataField="1" showAll="0"/>
    <pivotField showAll="0"/>
    <pivotField showAll="0"/>
    <pivotField showAll="0"/>
    <pivotField numFmtId="164"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1"/>
  </rowFields>
  <rowItems count="10">
    <i>
      <x v="4"/>
    </i>
    <i>
      <x v="5"/>
    </i>
    <i>
      <x v="6"/>
    </i>
    <i>
      <x v="7"/>
    </i>
    <i>
      <x v="8"/>
    </i>
    <i>
      <x v="9"/>
    </i>
    <i>
      <x v="10"/>
    </i>
    <i>
      <x v="11"/>
    </i>
    <i>
      <x v="12"/>
    </i>
    <i t="grand">
      <x/>
    </i>
  </rowItems>
  <colFields count="1">
    <field x="-2"/>
  </colFields>
  <colItems count="2">
    <i>
      <x/>
    </i>
    <i i="1">
      <x v="1"/>
    </i>
  </colItems>
  <dataFields count="2">
    <dataField name="Sum of Unit_Price" fld="8" baseField="0" baseItem="0"/>
    <dataField name="Sum of Total_Amount"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4"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126347-AF64-476F-AFAC-90B3C167AA8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pivotField showAll="0"/>
    <pivotField dataField="1" showAll="0"/>
    <pivotField showAll="0"/>
    <pivotField showAll="0">
      <items count="6">
        <item x="0"/>
        <item x="4"/>
        <item x="2"/>
        <item x="1"/>
        <item x="3"/>
        <item t="default"/>
      </items>
    </pivotField>
    <pivotField showAll="0"/>
    <pivotField numFmtId="164" showAll="0"/>
    <pivotField showAll="0"/>
    <pivotField showAll="0" defaultSubtotal="0"/>
    <pivotField showAll="0" defaultSubtotal="0"/>
    <pivotField showAll="0" defaultSubtotal="0">
      <items count="4">
        <item x="0"/>
        <item x="1"/>
        <item x="2"/>
        <item x="3"/>
      </items>
    </pivotField>
  </pivotFields>
  <rowFields count="1">
    <field x="5"/>
  </rowFields>
  <rowItems count="11">
    <i>
      <x/>
    </i>
    <i>
      <x v="1"/>
    </i>
    <i>
      <x v="2"/>
    </i>
    <i>
      <x v="3"/>
    </i>
    <i>
      <x v="4"/>
    </i>
    <i>
      <x v="5"/>
    </i>
    <i>
      <x v="6"/>
    </i>
    <i>
      <x v="7"/>
    </i>
    <i>
      <x v="8"/>
    </i>
    <i>
      <x v="9"/>
    </i>
    <i t="grand">
      <x/>
    </i>
  </rowItems>
  <colItems count="1">
    <i/>
  </colItems>
  <dataFields count="1">
    <dataField name="Sum of Unit_Price"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D7DB8D-CF88-4209-8B10-8ED7098C6D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items count="11">
        <item x="1"/>
        <item x="2"/>
        <item x="7"/>
        <item x="6"/>
        <item x="3"/>
        <item x="8"/>
        <item x="4"/>
        <item x="0"/>
        <item x="9"/>
        <item x="5"/>
        <item t="default"/>
      </items>
    </pivotField>
    <pivotField showAll="0">
      <items count="4">
        <item x="1"/>
        <item x="0"/>
        <item x="2"/>
        <item t="default"/>
      </items>
    </pivotField>
    <pivotField showAll="0"/>
    <pivotField showAll="0"/>
    <pivotField showAll="0"/>
    <pivotField axis="axisRow" showAll="0">
      <items count="6">
        <item x="0"/>
        <item x="4"/>
        <item x="2"/>
        <item x="1"/>
        <item x="3"/>
        <item t="default"/>
      </items>
    </pivotField>
    <pivotField showAll="0">
      <items count="4">
        <item x="0"/>
        <item x="1"/>
        <item x="2"/>
        <item t="default"/>
      </items>
    </pivotField>
    <pivotField numFmtId="164"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_Amount"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1C07FFD7-C263-4364-878A-1BC4B9AAD916}" sourceName="Product_Name">
  <pivotTables>
    <pivotTable tabId="3" name="PivotTable2"/>
  </pivotTables>
  <data>
    <tabular pivotCacheId="1190002381">
      <items count="10">
        <i x="1" s="1"/>
        <i x="2" s="1"/>
        <i x="7" s="1"/>
        <i x="6" s="1"/>
        <i x="3" s="1"/>
        <i x="8" s="1"/>
        <i x="4" s="1"/>
        <i x="0" s="1"/>
        <i x="9"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1146F9-2EBC-428E-A818-B7638640CC6C}" sourceName="Region">
  <pivotTables>
    <pivotTable tabId="9" name="PivotTable7"/>
  </pivotTables>
  <data>
    <tabular pivotCacheId="119000238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1" xr10:uid="{2ECC49F3-C8E1-4053-B193-711D99FDF7BD}" cache="Slicer_Product_Name" caption="Product_Name" rowHeight="234950"/>
  <slicer name="Region 1" xr10:uid="{D210C6D6-C910-439A-B80B-1AE3C4A54E33}"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11FA4A-25C9-4CBB-B8D8-F582D2C5C336}"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75BC8D5D-8180-447D-AB09-A35C09261034}" cache="Slicer_Product_Name" caption="Product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3DE2D0-8226-41BE-8E2C-9CF81AFB88A0}" name="Table1" displayName="Table1" ref="A1:N252" totalsRowCount="1" headerRowDxfId="29" dataDxfId="28">
  <autoFilter ref="A1:N251" xr:uid="{433DE2D0-8226-41BE-8E2C-9CF81AFB88A0}"/>
  <tableColumns count="14">
    <tableColumn id="1" xr3:uid="{A758E0EA-2A9E-4D45-B140-662298A9E6E9}" name="Transaction_ID" dataDxfId="27" totalsRowDxfId="26"/>
    <tableColumn id="2" xr3:uid="{ACD7132E-6893-4D12-86CF-210A4D9F965B}" name="Date" dataDxfId="25" totalsRowDxfId="24"/>
    <tableColumn id="3" xr3:uid="{51F7281E-6E06-4261-B09C-93C2108E2EF9}" name="Customer_ID" dataDxfId="23" totalsRowDxfId="22"/>
    <tableColumn id="4" xr3:uid="{20A45C69-17EC-413D-8944-7E7C3DD92AAA}" name="Customer_Name" dataDxfId="21" totalsRowDxfId="20"/>
    <tableColumn id="5" xr3:uid="{6B8525EE-1196-4E99-B94D-A2966E3A1074}" name="Product_ID" dataDxfId="19" totalsRowDxfId="18"/>
    <tableColumn id="6" xr3:uid="{8F5B9721-BF4C-4BC1-A60E-7ADDEF576D44}" name="Product_Name" dataDxfId="17" totalsRowDxfId="16"/>
    <tableColumn id="7" xr3:uid="{F344926A-76B4-42FE-A4C9-5D5A630D6B61}" name="Category" dataDxfId="15" totalsRowDxfId="14"/>
    <tableColumn id="8" xr3:uid="{BF0606C6-F0FE-47D4-A6FD-930B8708BCCC}" name="Quantity" totalsRowFunction="sum" dataDxfId="13" totalsRowDxfId="12"/>
    <tableColumn id="9" xr3:uid="{86E602F6-9FB7-4256-818F-FBF2680E643C}" name="Unit_Price" totalsRowFunction="average" dataDxfId="11" totalsRowDxfId="10"/>
    <tableColumn id="10" xr3:uid="{9ACF3B7C-FBD1-4390-B98A-87ACED881F6C}" name="Payment_Method" dataDxfId="9" totalsRowDxfId="8"/>
    <tableColumn id="11" xr3:uid="{68C68F5F-7B61-4DAD-A1E0-ABD212CF3ED2}" name="Region" dataDxfId="7" totalsRowDxfId="6"/>
    <tableColumn id="12" xr3:uid="{889E3A32-892B-4EA7-AFB3-5E0C557DA275}" name="Customer_Segment" dataDxfId="5" totalsRowDxfId="4"/>
    <tableColumn id="13" xr3:uid="{1AFB0FF9-2420-43A0-9FC1-8CE9868420FB}" name="Customer_Since" dataDxfId="3" totalsRowDxfId="2"/>
    <tableColumn id="14" xr3:uid="{44EBB749-9210-47E2-967A-2EFD835CBAE9}" name="Total_Amount" totalsRowFunction="sum" dataDxfId="1" totalsRow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BD986F6-C3A1-48AF-9365-BCA9F840CD2A}" sourceName="Date">
  <pivotTables>
    <pivotTable tabId="6" name="PivotTable4"/>
  </pivotTables>
  <state minimalRefreshVersion="6" lastRefreshVersion="6" pivotCacheId="1190002381" filterType="dateBetween">
    <selection startDate="2024-01-01T00:00:00" endDate="2024-12-31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9F6EA23-E042-446C-8CB1-AEB2338B8DEA}" cache="NativeTimeline_Date" caption="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F48E19D-787D-484A-81FE-BC8617834CC7}" cache="NativeTimeline_Date" caption="Date" level="0" selectionLevel="0"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A2" workbookViewId="0">
      <selection activeCell="A2" sqref="A2:A32"/>
    </sheetView>
  </sheetViews>
  <sheetFormatPr defaultColWidth="14.44140625" defaultRowHeight="15" customHeight="1" x14ac:dyDescent="0.3"/>
  <cols>
    <col min="1" max="1" width="94.88671875" customWidth="1"/>
    <col min="2" max="25" width="8.6640625" customWidth="1"/>
  </cols>
  <sheetData>
    <row r="1" spans="1:25" ht="14.4" x14ac:dyDescent="0.3">
      <c r="A1" s="1" t="s">
        <v>0</v>
      </c>
      <c r="B1" s="2"/>
      <c r="C1" s="2"/>
      <c r="D1" s="2"/>
      <c r="E1" s="2"/>
      <c r="F1" s="2"/>
      <c r="G1" s="2"/>
      <c r="H1" s="2"/>
      <c r="I1" s="2"/>
      <c r="J1" s="2"/>
      <c r="K1" s="2"/>
      <c r="L1" s="2"/>
      <c r="M1" s="2"/>
      <c r="N1" s="2"/>
      <c r="O1" s="2"/>
      <c r="P1" s="2"/>
      <c r="Q1" s="2"/>
      <c r="R1" s="2"/>
      <c r="S1" s="2"/>
      <c r="T1" s="2"/>
      <c r="U1" s="2"/>
      <c r="V1" s="2"/>
      <c r="W1" s="2"/>
      <c r="X1" s="2"/>
      <c r="Y1" s="2"/>
    </row>
    <row r="2" spans="1:25" ht="14.4" x14ac:dyDescent="0.3">
      <c r="A2" s="21" t="s">
        <v>1</v>
      </c>
      <c r="B2" s="2"/>
      <c r="C2" s="2"/>
      <c r="D2" s="2"/>
      <c r="E2" s="2"/>
      <c r="F2" s="2"/>
      <c r="G2" s="2"/>
      <c r="H2" s="2"/>
      <c r="I2" s="2"/>
      <c r="J2" s="2"/>
      <c r="K2" s="2"/>
      <c r="L2" s="2"/>
      <c r="M2" s="2"/>
      <c r="N2" s="2"/>
      <c r="O2" s="2"/>
      <c r="P2" s="2"/>
      <c r="Q2" s="2"/>
      <c r="R2" s="2"/>
      <c r="S2" s="2"/>
      <c r="T2" s="2"/>
      <c r="U2" s="2"/>
      <c r="V2" s="2"/>
      <c r="W2" s="2"/>
      <c r="X2" s="2"/>
      <c r="Y2" s="2"/>
    </row>
    <row r="3" spans="1:25" ht="14.4" x14ac:dyDescent="0.3">
      <c r="A3" s="22"/>
      <c r="B3" s="2"/>
      <c r="C3" s="2"/>
      <c r="D3" s="2"/>
      <c r="E3" s="2"/>
      <c r="F3" s="2"/>
      <c r="G3" s="2"/>
      <c r="H3" s="2"/>
      <c r="I3" s="2"/>
      <c r="J3" s="2"/>
      <c r="K3" s="2"/>
      <c r="L3" s="2"/>
      <c r="M3" s="2"/>
      <c r="N3" s="2"/>
      <c r="O3" s="2"/>
      <c r="P3" s="2"/>
      <c r="Q3" s="2"/>
      <c r="R3" s="2"/>
      <c r="S3" s="2"/>
      <c r="T3" s="2"/>
      <c r="U3" s="2"/>
      <c r="V3" s="2"/>
      <c r="W3" s="2"/>
      <c r="X3" s="2"/>
      <c r="Y3" s="2"/>
    </row>
    <row r="4" spans="1:25" ht="14.4" x14ac:dyDescent="0.3">
      <c r="A4" s="22"/>
      <c r="B4" s="2"/>
      <c r="C4" s="2"/>
      <c r="D4" s="2"/>
      <c r="E4" s="2"/>
      <c r="F4" s="2"/>
      <c r="G4" s="2"/>
      <c r="H4" s="2"/>
      <c r="I4" s="2"/>
      <c r="J4" s="2"/>
      <c r="K4" s="2"/>
      <c r="L4" s="2"/>
      <c r="M4" s="2"/>
      <c r="N4" s="2"/>
      <c r="O4" s="2"/>
      <c r="P4" s="2"/>
      <c r="Q4" s="2"/>
      <c r="R4" s="2"/>
      <c r="S4" s="2"/>
      <c r="T4" s="2"/>
      <c r="U4" s="2"/>
      <c r="V4" s="2"/>
      <c r="W4" s="2"/>
      <c r="X4" s="2"/>
      <c r="Y4" s="2"/>
    </row>
    <row r="5" spans="1:25" ht="14.4" x14ac:dyDescent="0.3">
      <c r="A5" s="22"/>
      <c r="B5" s="2"/>
      <c r="C5" s="2"/>
      <c r="D5" s="2"/>
      <c r="E5" s="2"/>
      <c r="F5" s="2"/>
      <c r="G5" s="2"/>
      <c r="H5" s="2"/>
      <c r="I5" s="2"/>
      <c r="J5" s="2"/>
      <c r="K5" s="2"/>
      <c r="L5" s="2"/>
      <c r="M5" s="2"/>
      <c r="N5" s="2"/>
      <c r="O5" s="2"/>
      <c r="P5" s="2"/>
      <c r="Q5" s="2"/>
      <c r="R5" s="2"/>
      <c r="S5" s="2"/>
      <c r="T5" s="2"/>
      <c r="U5" s="2"/>
      <c r="V5" s="2"/>
      <c r="W5" s="2"/>
      <c r="X5" s="2"/>
      <c r="Y5" s="2"/>
    </row>
    <row r="6" spans="1:25" ht="14.4" x14ac:dyDescent="0.3">
      <c r="A6" s="22"/>
      <c r="B6" s="2"/>
      <c r="C6" s="2"/>
      <c r="D6" s="2"/>
      <c r="E6" s="2"/>
      <c r="F6" s="2"/>
      <c r="G6" s="2"/>
      <c r="H6" s="2"/>
      <c r="I6" s="2"/>
      <c r="J6" s="2"/>
      <c r="K6" s="2"/>
      <c r="L6" s="2"/>
      <c r="M6" s="2"/>
      <c r="N6" s="2"/>
      <c r="O6" s="2"/>
      <c r="P6" s="2"/>
      <c r="Q6" s="2"/>
      <c r="R6" s="2"/>
      <c r="S6" s="2"/>
      <c r="T6" s="2"/>
      <c r="U6" s="2"/>
      <c r="V6" s="2"/>
      <c r="W6" s="2"/>
      <c r="X6" s="2"/>
      <c r="Y6" s="2"/>
    </row>
    <row r="7" spans="1:25" ht="14.4" x14ac:dyDescent="0.3">
      <c r="A7" s="22"/>
      <c r="B7" s="2"/>
      <c r="C7" s="2"/>
      <c r="D7" s="2"/>
      <c r="E7" s="2"/>
      <c r="F7" s="2"/>
      <c r="G7" s="2"/>
      <c r="H7" s="2"/>
      <c r="I7" s="2"/>
      <c r="J7" s="2"/>
      <c r="K7" s="2"/>
      <c r="L7" s="2"/>
      <c r="M7" s="2"/>
      <c r="N7" s="2"/>
      <c r="O7" s="2"/>
      <c r="P7" s="2"/>
      <c r="Q7" s="2"/>
      <c r="R7" s="2"/>
      <c r="S7" s="2"/>
      <c r="T7" s="2"/>
      <c r="U7" s="2"/>
      <c r="V7" s="2"/>
      <c r="W7" s="2"/>
      <c r="X7" s="2"/>
      <c r="Y7" s="2"/>
    </row>
    <row r="8" spans="1:25" ht="14.4" x14ac:dyDescent="0.3">
      <c r="A8" s="22"/>
      <c r="B8" s="2"/>
      <c r="C8" s="2"/>
      <c r="D8" s="2"/>
      <c r="E8" s="2"/>
      <c r="F8" s="2"/>
      <c r="G8" s="2"/>
      <c r="H8" s="2"/>
      <c r="I8" s="2"/>
      <c r="J8" s="2"/>
      <c r="K8" s="2"/>
      <c r="L8" s="2"/>
      <c r="M8" s="2"/>
      <c r="N8" s="2"/>
      <c r="O8" s="2"/>
      <c r="P8" s="2"/>
      <c r="Q8" s="2"/>
      <c r="R8" s="2"/>
      <c r="S8" s="2"/>
      <c r="T8" s="2"/>
      <c r="U8" s="2"/>
      <c r="V8" s="2"/>
      <c r="W8" s="2"/>
      <c r="X8" s="2"/>
      <c r="Y8" s="2"/>
    </row>
    <row r="9" spans="1:25" ht="14.4" x14ac:dyDescent="0.3">
      <c r="A9" s="22"/>
      <c r="B9" s="2"/>
      <c r="C9" s="2"/>
      <c r="D9" s="2"/>
      <c r="E9" s="2"/>
      <c r="F9" s="2"/>
      <c r="G9" s="2"/>
      <c r="H9" s="2"/>
      <c r="I9" s="2"/>
      <c r="J9" s="2"/>
      <c r="K9" s="2"/>
      <c r="L9" s="2"/>
      <c r="M9" s="2"/>
      <c r="N9" s="2"/>
      <c r="O9" s="2"/>
      <c r="P9" s="2"/>
      <c r="Q9" s="2"/>
      <c r="R9" s="2"/>
      <c r="S9" s="2"/>
      <c r="T9" s="2"/>
      <c r="U9" s="2"/>
      <c r="V9" s="2"/>
      <c r="W9" s="2"/>
      <c r="X9" s="2"/>
      <c r="Y9" s="2"/>
    </row>
    <row r="10" spans="1:25" ht="14.4" x14ac:dyDescent="0.3">
      <c r="A10" s="22"/>
      <c r="B10" s="2"/>
      <c r="C10" s="2"/>
      <c r="D10" s="2"/>
      <c r="E10" s="2"/>
      <c r="F10" s="2"/>
      <c r="G10" s="2"/>
      <c r="H10" s="2"/>
      <c r="I10" s="2"/>
      <c r="J10" s="2"/>
      <c r="K10" s="2"/>
      <c r="L10" s="2"/>
      <c r="M10" s="2"/>
      <c r="N10" s="2"/>
      <c r="O10" s="2"/>
      <c r="P10" s="2"/>
      <c r="Q10" s="2"/>
      <c r="R10" s="2"/>
      <c r="S10" s="2"/>
      <c r="T10" s="2"/>
      <c r="U10" s="2"/>
      <c r="V10" s="2"/>
      <c r="W10" s="2"/>
      <c r="X10" s="2"/>
      <c r="Y10" s="2"/>
    </row>
    <row r="11" spans="1:25" ht="14.4" x14ac:dyDescent="0.3">
      <c r="A11" s="22"/>
      <c r="B11" s="2"/>
      <c r="C11" s="2"/>
      <c r="D11" s="2"/>
      <c r="E11" s="2"/>
      <c r="F11" s="2"/>
      <c r="G11" s="2"/>
      <c r="H11" s="2"/>
      <c r="I11" s="2"/>
      <c r="J11" s="2"/>
      <c r="K11" s="2"/>
      <c r="L11" s="2"/>
      <c r="M11" s="2"/>
      <c r="N11" s="2"/>
      <c r="O11" s="2"/>
      <c r="P11" s="2"/>
      <c r="Q11" s="2"/>
      <c r="R11" s="2"/>
      <c r="S11" s="2"/>
      <c r="T11" s="2"/>
      <c r="U11" s="2"/>
      <c r="V11" s="2"/>
      <c r="W11" s="2"/>
      <c r="X11" s="2"/>
      <c r="Y11" s="2"/>
    </row>
    <row r="12" spans="1:25" ht="14.4" x14ac:dyDescent="0.3">
      <c r="A12" s="22"/>
      <c r="B12" s="2"/>
      <c r="C12" s="2"/>
      <c r="D12" s="2"/>
      <c r="E12" s="2"/>
      <c r="F12" s="2"/>
      <c r="G12" s="2"/>
      <c r="H12" s="2"/>
      <c r="I12" s="2"/>
      <c r="J12" s="2"/>
      <c r="K12" s="2"/>
      <c r="L12" s="2"/>
      <c r="M12" s="2"/>
      <c r="N12" s="2"/>
      <c r="O12" s="2"/>
      <c r="P12" s="2"/>
      <c r="Q12" s="2"/>
      <c r="R12" s="2"/>
      <c r="S12" s="2"/>
      <c r="T12" s="2"/>
      <c r="U12" s="2"/>
      <c r="V12" s="2"/>
      <c r="W12" s="2"/>
      <c r="X12" s="2"/>
      <c r="Y12" s="2"/>
    </row>
    <row r="13" spans="1:25" ht="14.4" x14ac:dyDescent="0.3">
      <c r="A13" s="22"/>
      <c r="B13" s="2"/>
      <c r="C13" s="2"/>
      <c r="D13" s="2"/>
      <c r="E13" s="2"/>
      <c r="F13" s="2"/>
      <c r="G13" s="2"/>
      <c r="H13" s="2"/>
      <c r="I13" s="2"/>
      <c r="J13" s="2"/>
      <c r="K13" s="2"/>
      <c r="L13" s="2"/>
      <c r="M13" s="2"/>
      <c r="N13" s="2"/>
      <c r="O13" s="2"/>
      <c r="P13" s="2"/>
      <c r="Q13" s="2"/>
      <c r="R13" s="2"/>
      <c r="S13" s="2"/>
      <c r="T13" s="2"/>
      <c r="U13" s="2"/>
      <c r="V13" s="2"/>
      <c r="W13" s="2"/>
      <c r="X13" s="2"/>
      <c r="Y13" s="2"/>
    </row>
    <row r="14" spans="1:25" ht="14.4" x14ac:dyDescent="0.3">
      <c r="A14" s="22"/>
      <c r="B14" s="2"/>
      <c r="C14" s="2"/>
      <c r="D14" s="2"/>
      <c r="E14" s="2"/>
      <c r="F14" s="2"/>
      <c r="G14" s="2"/>
      <c r="H14" s="2"/>
      <c r="I14" s="2"/>
      <c r="J14" s="2"/>
      <c r="K14" s="2"/>
      <c r="L14" s="2"/>
      <c r="M14" s="2"/>
      <c r="N14" s="2"/>
      <c r="O14" s="2"/>
      <c r="P14" s="2"/>
      <c r="Q14" s="2"/>
      <c r="R14" s="2"/>
      <c r="S14" s="2"/>
      <c r="T14" s="2"/>
      <c r="U14" s="2"/>
      <c r="V14" s="2"/>
      <c r="W14" s="2"/>
      <c r="X14" s="2"/>
      <c r="Y14" s="2"/>
    </row>
    <row r="15" spans="1:25" ht="14.4" x14ac:dyDescent="0.3">
      <c r="A15" s="22"/>
      <c r="B15" s="2"/>
      <c r="C15" s="2"/>
      <c r="D15" s="2"/>
      <c r="E15" s="2"/>
      <c r="F15" s="2"/>
      <c r="G15" s="2"/>
      <c r="H15" s="2"/>
      <c r="I15" s="2"/>
      <c r="J15" s="2"/>
      <c r="K15" s="2"/>
      <c r="L15" s="2"/>
      <c r="M15" s="2"/>
      <c r="N15" s="2"/>
      <c r="O15" s="2"/>
      <c r="P15" s="2"/>
      <c r="Q15" s="2"/>
      <c r="R15" s="2"/>
      <c r="S15" s="2"/>
      <c r="T15" s="2"/>
      <c r="U15" s="2"/>
      <c r="V15" s="2"/>
      <c r="W15" s="2"/>
      <c r="X15" s="2"/>
      <c r="Y15" s="2"/>
    </row>
    <row r="16" spans="1:25" ht="14.4" x14ac:dyDescent="0.3">
      <c r="A16" s="22"/>
      <c r="B16" s="2"/>
      <c r="C16" s="2"/>
      <c r="D16" s="2"/>
      <c r="E16" s="2"/>
      <c r="F16" s="2"/>
      <c r="G16" s="2"/>
      <c r="H16" s="2"/>
      <c r="I16" s="2"/>
      <c r="J16" s="2"/>
      <c r="K16" s="2"/>
      <c r="L16" s="2"/>
      <c r="M16" s="2"/>
      <c r="N16" s="2"/>
      <c r="O16" s="2"/>
      <c r="P16" s="2"/>
      <c r="Q16" s="2"/>
      <c r="R16" s="2"/>
      <c r="S16" s="2"/>
      <c r="T16" s="2"/>
      <c r="U16" s="2"/>
      <c r="V16" s="2"/>
      <c r="W16" s="2"/>
      <c r="X16" s="2"/>
      <c r="Y16" s="2"/>
    </row>
    <row r="17" spans="1:25" ht="14.4" x14ac:dyDescent="0.3">
      <c r="A17" s="22"/>
      <c r="B17" s="2"/>
      <c r="C17" s="2"/>
      <c r="D17" s="2"/>
      <c r="E17" s="2"/>
      <c r="F17" s="2"/>
      <c r="G17" s="2"/>
      <c r="H17" s="2"/>
      <c r="I17" s="2"/>
      <c r="J17" s="2"/>
      <c r="K17" s="2"/>
      <c r="L17" s="2"/>
      <c r="M17" s="2"/>
      <c r="N17" s="2"/>
      <c r="O17" s="2"/>
      <c r="P17" s="2"/>
      <c r="Q17" s="2"/>
      <c r="R17" s="2"/>
      <c r="S17" s="2"/>
      <c r="T17" s="2"/>
      <c r="U17" s="2"/>
      <c r="V17" s="2"/>
      <c r="W17" s="2"/>
      <c r="X17" s="2"/>
      <c r="Y17" s="2"/>
    </row>
    <row r="18" spans="1:25" ht="14.4" x14ac:dyDescent="0.3">
      <c r="A18" s="22"/>
      <c r="B18" s="2"/>
      <c r="C18" s="2"/>
      <c r="D18" s="2"/>
      <c r="E18" s="2"/>
      <c r="F18" s="2"/>
      <c r="G18" s="2"/>
      <c r="H18" s="2"/>
      <c r="I18" s="2"/>
      <c r="J18" s="2"/>
      <c r="K18" s="2"/>
      <c r="L18" s="2"/>
      <c r="M18" s="2"/>
      <c r="N18" s="2"/>
      <c r="O18" s="2"/>
      <c r="P18" s="2"/>
      <c r="Q18" s="2"/>
      <c r="R18" s="2"/>
      <c r="S18" s="2"/>
      <c r="T18" s="2"/>
      <c r="U18" s="2"/>
      <c r="V18" s="2"/>
      <c r="W18" s="2"/>
      <c r="X18" s="2"/>
      <c r="Y18" s="2"/>
    </row>
    <row r="19" spans="1:25" ht="14.4" x14ac:dyDescent="0.3">
      <c r="A19" s="22"/>
      <c r="B19" s="2"/>
      <c r="C19" s="2"/>
      <c r="D19" s="2"/>
      <c r="E19" s="2"/>
      <c r="F19" s="2"/>
      <c r="G19" s="2"/>
      <c r="H19" s="2"/>
      <c r="I19" s="2"/>
      <c r="J19" s="2"/>
      <c r="K19" s="2"/>
      <c r="L19" s="2"/>
      <c r="M19" s="2"/>
      <c r="N19" s="2"/>
      <c r="O19" s="2"/>
      <c r="P19" s="2"/>
      <c r="Q19" s="2"/>
      <c r="R19" s="2"/>
      <c r="S19" s="2"/>
      <c r="T19" s="2"/>
      <c r="U19" s="2"/>
      <c r="V19" s="2"/>
      <c r="W19" s="2"/>
      <c r="X19" s="2"/>
      <c r="Y19" s="2"/>
    </row>
    <row r="20" spans="1:25" ht="14.4" x14ac:dyDescent="0.3">
      <c r="A20" s="2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3">
      <c r="A21" s="2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3">
      <c r="A22" s="2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3">
      <c r="A23" s="2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3">
      <c r="A24" s="2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3">
      <c r="A25" s="2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3">
      <c r="A26" s="2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3">
      <c r="A27" s="2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3">
      <c r="A28" s="2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3">
      <c r="A29" s="2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3">
      <c r="A30" s="2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3">
      <c r="A31" s="2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3">
      <c r="A32" s="2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1">
    <mergeCell ref="A2:A32"/>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48576"/>
  <sheetViews>
    <sheetView topLeftCell="A2" workbookViewId="0">
      <selection sqref="A1:N251"/>
    </sheetView>
  </sheetViews>
  <sheetFormatPr defaultColWidth="14.44140625" defaultRowHeight="15" customHeight="1" x14ac:dyDescent="0.3"/>
  <cols>
    <col min="1" max="1" width="15.44140625" customWidth="1"/>
    <col min="2" max="2" width="10.88671875" customWidth="1"/>
    <col min="3" max="3" width="13.77734375" customWidth="1"/>
    <col min="4" max="4" width="17" customWidth="1"/>
    <col min="5" max="5" width="12.33203125" customWidth="1"/>
    <col min="6" max="6" width="15.5546875" customWidth="1"/>
    <col min="7" max="7" width="10.44140625" customWidth="1"/>
    <col min="8" max="8" width="10.21875" customWidth="1"/>
    <col min="9" max="9" width="11.5546875" customWidth="1"/>
    <col min="10" max="10" width="18.21875" customWidth="1"/>
    <col min="11" max="11" width="8.6640625" customWidth="1"/>
    <col min="12" max="12" width="19.44140625" customWidth="1"/>
    <col min="13" max="13" width="16.44140625" customWidth="1"/>
    <col min="14" max="14" width="15" customWidth="1"/>
    <col min="15" max="26" width="8.6640625" customWidth="1"/>
  </cols>
  <sheetData>
    <row r="1" spans="1:26" ht="14.4" x14ac:dyDescent="0.3">
      <c r="A1" s="3" t="s">
        <v>2</v>
      </c>
      <c r="B1" s="3" t="s">
        <v>3</v>
      </c>
      <c r="C1" s="3" t="s">
        <v>4</v>
      </c>
      <c r="D1" s="3" t="s">
        <v>5</v>
      </c>
      <c r="E1" s="3" t="s">
        <v>6</v>
      </c>
      <c r="F1" s="3" t="s">
        <v>7</v>
      </c>
      <c r="G1" s="3" t="s">
        <v>8</v>
      </c>
      <c r="H1" s="3" t="s">
        <v>9</v>
      </c>
      <c r="I1" s="3" t="s">
        <v>10</v>
      </c>
      <c r="J1" s="3" t="s">
        <v>11</v>
      </c>
      <c r="K1" s="3" t="s">
        <v>12</v>
      </c>
      <c r="L1" s="3" t="s">
        <v>13</v>
      </c>
      <c r="M1" s="3" t="s">
        <v>14</v>
      </c>
      <c r="N1" s="3" t="s">
        <v>15</v>
      </c>
      <c r="O1" s="3"/>
      <c r="P1" s="3"/>
      <c r="Q1" s="3"/>
      <c r="R1" s="3"/>
      <c r="S1" s="3"/>
      <c r="T1" s="3"/>
      <c r="U1" s="3"/>
      <c r="V1" s="3"/>
      <c r="W1" s="3"/>
      <c r="X1" s="3"/>
      <c r="Y1" s="3"/>
      <c r="Z1" s="3"/>
    </row>
    <row r="2" spans="1:26" ht="14.4" x14ac:dyDescent="0.3">
      <c r="A2" s="4" t="s">
        <v>16</v>
      </c>
      <c r="B2" s="5">
        <v>45393</v>
      </c>
      <c r="C2" s="4" t="s">
        <v>17</v>
      </c>
      <c r="D2" s="4" t="s">
        <v>18</v>
      </c>
      <c r="E2" s="4" t="s">
        <v>19</v>
      </c>
      <c r="F2" s="4" t="s">
        <v>20</v>
      </c>
      <c r="G2" s="4" t="s">
        <v>21</v>
      </c>
      <c r="H2" s="4">
        <v>3</v>
      </c>
      <c r="I2" s="4">
        <v>249.99</v>
      </c>
      <c r="J2" s="4" t="s">
        <v>22</v>
      </c>
      <c r="K2" s="4" t="s">
        <v>23</v>
      </c>
      <c r="L2" s="4" t="s">
        <v>24</v>
      </c>
      <c r="M2" s="5">
        <v>44425</v>
      </c>
      <c r="N2" s="4">
        <v>749.97</v>
      </c>
    </row>
    <row r="3" spans="1:26" ht="14.4" x14ac:dyDescent="0.3">
      <c r="A3" s="4" t="s">
        <v>25</v>
      </c>
      <c r="B3" s="5">
        <v>45396</v>
      </c>
      <c r="C3" s="4" t="s">
        <v>26</v>
      </c>
      <c r="D3" s="4" t="s">
        <v>27</v>
      </c>
      <c r="E3" s="4" t="s">
        <v>19</v>
      </c>
      <c r="F3" s="4" t="s">
        <v>20</v>
      </c>
      <c r="G3" s="4" t="s">
        <v>21</v>
      </c>
      <c r="H3" s="4">
        <v>3</v>
      </c>
      <c r="I3" s="4">
        <v>249.99</v>
      </c>
      <c r="J3" s="4" t="s">
        <v>28</v>
      </c>
      <c r="K3" s="4" t="s">
        <v>23</v>
      </c>
      <c r="L3" s="4" t="s">
        <v>29</v>
      </c>
      <c r="M3" s="5">
        <v>44575</v>
      </c>
      <c r="N3" s="4">
        <v>749.97</v>
      </c>
    </row>
    <row r="4" spans="1:26" ht="14.4" x14ac:dyDescent="0.3">
      <c r="A4" s="4" t="s">
        <v>30</v>
      </c>
      <c r="B4" s="5">
        <v>45399</v>
      </c>
      <c r="C4" s="4" t="s">
        <v>31</v>
      </c>
      <c r="D4" s="4" t="s">
        <v>32</v>
      </c>
      <c r="E4" s="4" t="s">
        <v>33</v>
      </c>
      <c r="F4" s="4" t="s">
        <v>34</v>
      </c>
      <c r="G4" s="4" t="s">
        <v>35</v>
      </c>
      <c r="H4" s="4">
        <v>3</v>
      </c>
      <c r="I4" s="4">
        <v>59.99</v>
      </c>
      <c r="J4" s="4" t="s">
        <v>36</v>
      </c>
      <c r="K4" s="4" t="s">
        <v>37</v>
      </c>
      <c r="L4" s="4" t="s">
        <v>38</v>
      </c>
      <c r="M4" s="5">
        <v>45262</v>
      </c>
      <c r="N4" s="4">
        <v>179.97</v>
      </c>
    </row>
    <row r="5" spans="1:26" ht="14.4" x14ac:dyDescent="0.3">
      <c r="A5" s="4" t="s">
        <v>39</v>
      </c>
      <c r="B5" s="5">
        <v>45400</v>
      </c>
      <c r="C5" s="4" t="s">
        <v>40</v>
      </c>
      <c r="D5" s="4" t="s">
        <v>41</v>
      </c>
      <c r="E5" s="4" t="s">
        <v>33</v>
      </c>
      <c r="F5" s="4" t="s">
        <v>34</v>
      </c>
      <c r="G5" s="4" t="s">
        <v>35</v>
      </c>
      <c r="H5" s="4">
        <v>3</v>
      </c>
      <c r="I5" s="4">
        <v>59.99</v>
      </c>
      <c r="J5" s="4" t="s">
        <v>22</v>
      </c>
      <c r="K5" s="4" t="s">
        <v>42</v>
      </c>
      <c r="L5" s="4" t="s">
        <v>29</v>
      </c>
      <c r="M5" s="5">
        <v>45114</v>
      </c>
      <c r="N5" s="4">
        <v>179.97</v>
      </c>
    </row>
    <row r="6" spans="1:26" ht="14.4" x14ac:dyDescent="0.3">
      <c r="A6" s="4" t="s">
        <v>43</v>
      </c>
      <c r="B6" s="5">
        <v>45400</v>
      </c>
      <c r="C6" s="4" t="s">
        <v>44</v>
      </c>
      <c r="D6" s="4" t="s">
        <v>45</v>
      </c>
      <c r="E6" s="4" t="s">
        <v>46</v>
      </c>
      <c r="F6" s="4" t="s">
        <v>47</v>
      </c>
      <c r="G6" s="4" t="s">
        <v>48</v>
      </c>
      <c r="H6" s="4">
        <v>5</v>
      </c>
      <c r="I6" s="4">
        <v>149.99</v>
      </c>
      <c r="J6" s="4" t="s">
        <v>28</v>
      </c>
      <c r="K6" s="4" t="s">
        <v>42</v>
      </c>
      <c r="L6" s="4" t="s">
        <v>29</v>
      </c>
      <c r="M6" s="5">
        <v>45295</v>
      </c>
      <c r="N6" s="4">
        <v>749.95</v>
      </c>
    </row>
    <row r="7" spans="1:26" ht="14.4" x14ac:dyDescent="0.3">
      <c r="A7" s="4" t="s">
        <v>49</v>
      </c>
      <c r="B7" s="5">
        <v>45403</v>
      </c>
      <c r="C7" s="4" t="s">
        <v>50</v>
      </c>
      <c r="D7" s="4" t="s">
        <v>51</v>
      </c>
      <c r="E7" s="4" t="s">
        <v>33</v>
      </c>
      <c r="F7" s="4" t="s">
        <v>34</v>
      </c>
      <c r="G7" s="4" t="s">
        <v>35</v>
      </c>
      <c r="H7" s="4">
        <v>2</v>
      </c>
      <c r="I7" s="4">
        <v>59.99</v>
      </c>
      <c r="J7" s="4" t="s">
        <v>22</v>
      </c>
      <c r="K7" s="4" t="s">
        <v>52</v>
      </c>
      <c r="L7" s="4" t="s">
        <v>38</v>
      </c>
      <c r="M7" s="5">
        <v>44746</v>
      </c>
      <c r="N7" s="4">
        <v>119.98</v>
      </c>
    </row>
    <row r="8" spans="1:26" ht="14.4" x14ac:dyDescent="0.3">
      <c r="A8" s="4" t="s">
        <v>53</v>
      </c>
      <c r="B8" s="5">
        <v>45403</v>
      </c>
      <c r="C8" s="4" t="s">
        <v>50</v>
      </c>
      <c r="D8" s="4" t="s">
        <v>51</v>
      </c>
      <c r="E8" s="4" t="s">
        <v>54</v>
      </c>
      <c r="F8" s="4" t="s">
        <v>55</v>
      </c>
      <c r="G8" s="4" t="s">
        <v>21</v>
      </c>
      <c r="H8" s="4">
        <v>5</v>
      </c>
      <c r="I8" s="4">
        <v>149.99</v>
      </c>
      <c r="J8" s="4" t="s">
        <v>28</v>
      </c>
      <c r="K8" s="4" t="s">
        <v>23</v>
      </c>
      <c r="L8" s="4" t="s">
        <v>38</v>
      </c>
      <c r="M8" s="5">
        <v>44418</v>
      </c>
      <c r="N8" s="4">
        <v>749.95</v>
      </c>
    </row>
    <row r="9" spans="1:26" ht="14.4" x14ac:dyDescent="0.3">
      <c r="A9" s="4" t="s">
        <v>56</v>
      </c>
      <c r="B9" s="5">
        <v>45403</v>
      </c>
      <c r="C9" s="4" t="s">
        <v>57</v>
      </c>
      <c r="D9" s="4" t="s">
        <v>58</v>
      </c>
      <c r="E9" s="4" t="s">
        <v>33</v>
      </c>
      <c r="F9" s="4" t="s">
        <v>34</v>
      </c>
      <c r="G9" s="4" t="s">
        <v>35</v>
      </c>
      <c r="H9" s="4">
        <v>3</v>
      </c>
      <c r="I9" s="4">
        <v>59.99</v>
      </c>
      <c r="J9" s="4" t="s">
        <v>59</v>
      </c>
      <c r="K9" s="4" t="s">
        <v>37</v>
      </c>
      <c r="L9" s="4" t="s">
        <v>24</v>
      </c>
      <c r="M9" s="5">
        <v>45007</v>
      </c>
      <c r="N9" s="4">
        <v>179.97</v>
      </c>
    </row>
    <row r="10" spans="1:26" ht="14.4" x14ac:dyDescent="0.3">
      <c r="A10" s="4" t="s">
        <v>60</v>
      </c>
      <c r="B10" s="5">
        <v>45405</v>
      </c>
      <c r="C10" s="4" t="s">
        <v>61</v>
      </c>
      <c r="D10" s="4" t="s">
        <v>62</v>
      </c>
      <c r="E10" s="4" t="s">
        <v>63</v>
      </c>
      <c r="F10" s="4" t="s">
        <v>64</v>
      </c>
      <c r="G10" s="4" t="s">
        <v>21</v>
      </c>
      <c r="H10" s="4">
        <v>3</v>
      </c>
      <c r="I10" s="4">
        <v>899.99</v>
      </c>
      <c r="J10" s="4" t="s">
        <v>36</v>
      </c>
      <c r="K10" s="4" t="s">
        <v>65</v>
      </c>
      <c r="L10" s="4" t="s">
        <v>38</v>
      </c>
      <c r="M10" s="5">
        <v>45299</v>
      </c>
      <c r="N10" s="4">
        <v>2699.97</v>
      </c>
    </row>
    <row r="11" spans="1:26" ht="14.4" x14ac:dyDescent="0.3">
      <c r="A11" s="4" t="s">
        <v>66</v>
      </c>
      <c r="B11" s="5">
        <v>45408</v>
      </c>
      <c r="C11" s="4" t="s">
        <v>67</v>
      </c>
      <c r="D11" s="4" t="s">
        <v>68</v>
      </c>
      <c r="E11" s="4" t="s">
        <v>33</v>
      </c>
      <c r="F11" s="4" t="s">
        <v>34</v>
      </c>
      <c r="G11" s="4" t="s">
        <v>35</v>
      </c>
      <c r="H11" s="4">
        <v>3</v>
      </c>
      <c r="I11" s="4">
        <v>59.99</v>
      </c>
      <c r="J11" s="4" t="s">
        <v>22</v>
      </c>
      <c r="K11" s="4" t="s">
        <v>52</v>
      </c>
      <c r="L11" s="4" t="s">
        <v>29</v>
      </c>
      <c r="M11" s="5">
        <v>45207</v>
      </c>
      <c r="N11" s="4">
        <v>179.97</v>
      </c>
    </row>
    <row r="12" spans="1:26" ht="14.4" x14ac:dyDescent="0.3">
      <c r="A12" s="4" t="s">
        <v>69</v>
      </c>
      <c r="B12" s="5">
        <v>45408</v>
      </c>
      <c r="C12" s="4" t="s">
        <v>70</v>
      </c>
      <c r="D12" s="4" t="s">
        <v>71</v>
      </c>
      <c r="E12" s="4" t="s">
        <v>46</v>
      </c>
      <c r="F12" s="4" t="s">
        <v>47</v>
      </c>
      <c r="G12" s="4" t="s">
        <v>48</v>
      </c>
      <c r="H12" s="4">
        <v>1</v>
      </c>
      <c r="I12" s="4">
        <v>149.99</v>
      </c>
      <c r="J12" s="4" t="s">
        <v>28</v>
      </c>
      <c r="K12" s="4" t="s">
        <v>52</v>
      </c>
      <c r="L12" s="4" t="s">
        <v>38</v>
      </c>
      <c r="M12" s="5">
        <v>45103</v>
      </c>
      <c r="N12" s="4">
        <v>149.99</v>
      </c>
    </row>
    <row r="13" spans="1:26" ht="14.4" x14ac:dyDescent="0.3">
      <c r="A13" s="4" t="s">
        <v>72</v>
      </c>
      <c r="B13" s="5">
        <v>45408</v>
      </c>
      <c r="C13" s="4" t="s">
        <v>40</v>
      </c>
      <c r="D13" s="4" t="s">
        <v>41</v>
      </c>
      <c r="E13" s="4" t="s">
        <v>46</v>
      </c>
      <c r="F13" s="4" t="s">
        <v>47</v>
      </c>
      <c r="G13" s="4" t="s">
        <v>48</v>
      </c>
      <c r="H13" s="4">
        <v>5</v>
      </c>
      <c r="I13" s="4">
        <v>149.99</v>
      </c>
      <c r="J13" s="4" t="s">
        <v>59</v>
      </c>
      <c r="K13" s="4" t="s">
        <v>42</v>
      </c>
      <c r="L13" s="4" t="s">
        <v>24</v>
      </c>
      <c r="M13" s="5">
        <v>44830</v>
      </c>
      <c r="N13" s="4">
        <v>749.95</v>
      </c>
    </row>
    <row r="14" spans="1:26" ht="14.4" x14ac:dyDescent="0.3">
      <c r="A14" s="4" t="s">
        <v>73</v>
      </c>
      <c r="B14" s="5">
        <v>45408</v>
      </c>
      <c r="C14" s="4" t="s">
        <v>74</v>
      </c>
      <c r="D14" s="4" t="s">
        <v>75</v>
      </c>
      <c r="E14" s="4" t="s">
        <v>46</v>
      </c>
      <c r="F14" s="4" t="s">
        <v>47</v>
      </c>
      <c r="G14" s="4" t="s">
        <v>48</v>
      </c>
      <c r="H14" s="4">
        <v>3</v>
      </c>
      <c r="I14" s="4">
        <v>149.99</v>
      </c>
      <c r="J14" s="4" t="s">
        <v>22</v>
      </c>
      <c r="K14" s="4" t="s">
        <v>42</v>
      </c>
      <c r="L14" s="4" t="s">
        <v>29</v>
      </c>
      <c r="M14" s="5">
        <v>44806</v>
      </c>
      <c r="N14" s="4">
        <v>449.97</v>
      </c>
    </row>
    <row r="15" spans="1:26" ht="14.4" x14ac:dyDescent="0.3">
      <c r="A15" s="4" t="s">
        <v>76</v>
      </c>
      <c r="B15" s="5">
        <v>45409</v>
      </c>
      <c r="C15" s="4" t="s">
        <v>77</v>
      </c>
      <c r="D15" s="4" t="s">
        <v>78</v>
      </c>
      <c r="E15" s="4" t="s">
        <v>33</v>
      </c>
      <c r="F15" s="4" t="s">
        <v>34</v>
      </c>
      <c r="G15" s="4" t="s">
        <v>35</v>
      </c>
      <c r="H15" s="4">
        <v>3</v>
      </c>
      <c r="I15" s="4">
        <v>59.99</v>
      </c>
      <c r="J15" s="4" t="s">
        <v>28</v>
      </c>
      <c r="K15" s="4" t="s">
        <v>42</v>
      </c>
      <c r="L15" s="4" t="s">
        <v>38</v>
      </c>
      <c r="M15" s="5">
        <v>45351</v>
      </c>
      <c r="N15" s="4">
        <v>179.97</v>
      </c>
    </row>
    <row r="16" spans="1:26" ht="14.4" x14ac:dyDescent="0.3">
      <c r="A16" s="4" t="s">
        <v>79</v>
      </c>
      <c r="B16" s="5">
        <v>45409</v>
      </c>
      <c r="C16" s="4" t="s">
        <v>80</v>
      </c>
      <c r="D16" s="4" t="s">
        <v>81</v>
      </c>
      <c r="E16" s="4" t="s">
        <v>82</v>
      </c>
      <c r="F16" s="4" t="s">
        <v>83</v>
      </c>
      <c r="G16" s="4" t="s">
        <v>21</v>
      </c>
      <c r="H16" s="4">
        <v>3</v>
      </c>
      <c r="I16" s="4">
        <v>699.99</v>
      </c>
      <c r="J16" s="4" t="s">
        <v>28</v>
      </c>
      <c r="K16" s="4" t="s">
        <v>52</v>
      </c>
      <c r="L16" s="4" t="s">
        <v>24</v>
      </c>
      <c r="M16" s="5">
        <v>44577</v>
      </c>
      <c r="N16" s="4">
        <v>2099.9699999999998</v>
      </c>
    </row>
    <row r="17" spans="1:14" ht="14.4" x14ac:dyDescent="0.3">
      <c r="A17" s="4" t="s">
        <v>84</v>
      </c>
      <c r="B17" s="5">
        <v>45409</v>
      </c>
      <c r="C17" s="4" t="s">
        <v>85</v>
      </c>
      <c r="D17" s="4" t="s">
        <v>86</v>
      </c>
      <c r="E17" s="4" t="s">
        <v>63</v>
      </c>
      <c r="F17" s="4" t="s">
        <v>64</v>
      </c>
      <c r="G17" s="4" t="s">
        <v>21</v>
      </c>
      <c r="H17" s="4">
        <v>1</v>
      </c>
      <c r="I17" s="4">
        <v>899.99</v>
      </c>
      <c r="J17" s="4" t="s">
        <v>59</v>
      </c>
      <c r="K17" s="4" t="s">
        <v>42</v>
      </c>
      <c r="L17" s="4" t="s">
        <v>38</v>
      </c>
      <c r="M17" s="5">
        <v>44920</v>
      </c>
      <c r="N17" s="4">
        <v>899.99</v>
      </c>
    </row>
    <row r="18" spans="1:14" ht="14.4" x14ac:dyDescent="0.3">
      <c r="A18" s="4" t="s">
        <v>87</v>
      </c>
      <c r="B18" s="5">
        <v>45410</v>
      </c>
      <c r="C18" s="4" t="s">
        <v>88</v>
      </c>
      <c r="D18" s="4" t="s">
        <v>89</v>
      </c>
      <c r="E18" s="4" t="s">
        <v>46</v>
      </c>
      <c r="F18" s="4" t="s">
        <v>47</v>
      </c>
      <c r="G18" s="4" t="s">
        <v>48</v>
      </c>
      <c r="H18" s="4">
        <v>4</v>
      </c>
      <c r="I18" s="4">
        <v>149.99</v>
      </c>
      <c r="J18" s="4" t="s">
        <v>59</v>
      </c>
      <c r="K18" s="4" t="s">
        <v>42</v>
      </c>
      <c r="L18" s="4" t="s">
        <v>29</v>
      </c>
      <c r="M18" s="5">
        <v>45374</v>
      </c>
      <c r="N18" s="4">
        <v>599.96</v>
      </c>
    </row>
    <row r="19" spans="1:14" ht="14.4" x14ac:dyDescent="0.3">
      <c r="A19" s="4" t="s">
        <v>90</v>
      </c>
      <c r="B19" s="5">
        <v>45410</v>
      </c>
      <c r="C19" s="4" t="s">
        <v>91</v>
      </c>
      <c r="D19" s="4" t="s">
        <v>92</v>
      </c>
      <c r="E19" s="4" t="s">
        <v>82</v>
      </c>
      <c r="F19" s="4" t="s">
        <v>83</v>
      </c>
      <c r="G19" s="4" t="s">
        <v>21</v>
      </c>
      <c r="H19" s="4">
        <v>2</v>
      </c>
      <c r="I19" s="4">
        <v>699.99</v>
      </c>
      <c r="J19" s="4" t="s">
        <v>22</v>
      </c>
      <c r="K19" s="4" t="s">
        <v>42</v>
      </c>
      <c r="L19" s="4" t="s">
        <v>24</v>
      </c>
      <c r="M19" s="5">
        <v>44781</v>
      </c>
      <c r="N19" s="4">
        <v>1399.98</v>
      </c>
    </row>
    <row r="20" spans="1:14" ht="14.4" x14ac:dyDescent="0.3">
      <c r="A20" s="4" t="s">
        <v>93</v>
      </c>
      <c r="B20" s="5">
        <v>45410</v>
      </c>
      <c r="C20" s="4" t="s">
        <v>88</v>
      </c>
      <c r="D20" s="4" t="s">
        <v>89</v>
      </c>
      <c r="E20" s="4" t="s">
        <v>63</v>
      </c>
      <c r="F20" s="4" t="s">
        <v>64</v>
      </c>
      <c r="G20" s="4" t="s">
        <v>21</v>
      </c>
      <c r="H20" s="4">
        <v>4</v>
      </c>
      <c r="I20" s="4">
        <v>899.99</v>
      </c>
      <c r="J20" s="4" t="s">
        <v>28</v>
      </c>
      <c r="K20" s="4" t="s">
        <v>52</v>
      </c>
      <c r="L20" s="4" t="s">
        <v>38</v>
      </c>
      <c r="M20" s="5">
        <v>45327</v>
      </c>
      <c r="N20" s="4">
        <v>3599.96</v>
      </c>
    </row>
    <row r="21" spans="1:14" ht="15.75" customHeight="1" x14ac:dyDescent="0.3">
      <c r="A21" s="4" t="s">
        <v>94</v>
      </c>
      <c r="B21" s="5">
        <v>45410</v>
      </c>
      <c r="C21" s="4" t="s">
        <v>95</v>
      </c>
      <c r="D21" s="4" t="s">
        <v>96</v>
      </c>
      <c r="E21" s="4" t="s">
        <v>19</v>
      </c>
      <c r="F21" s="4" t="s">
        <v>20</v>
      </c>
      <c r="G21" s="4" t="s">
        <v>21</v>
      </c>
      <c r="H21" s="4">
        <v>3</v>
      </c>
      <c r="I21" s="4">
        <v>249.99</v>
      </c>
      <c r="J21" s="4" t="s">
        <v>28</v>
      </c>
      <c r="K21" s="4" t="s">
        <v>42</v>
      </c>
      <c r="L21" s="4" t="s">
        <v>29</v>
      </c>
      <c r="M21" s="5">
        <v>45224</v>
      </c>
      <c r="N21" s="4">
        <v>749.97</v>
      </c>
    </row>
    <row r="22" spans="1:14" ht="15.75" customHeight="1" x14ac:dyDescent="0.3">
      <c r="A22" s="4" t="s">
        <v>97</v>
      </c>
      <c r="B22" s="5">
        <v>45412</v>
      </c>
      <c r="C22" s="4" t="s">
        <v>98</v>
      </c>
      <c r="D22" s="4" t="s">
        <v>99</v>
      </c>
      <c r="E22" s="4" t="s">
        <v>82</v>
      </c>
      <c r="F22" s="4" t="s">
        <v>83</v>
      </c>
      <c r="G22" s="4" t="s">
        <v>21</v>
      </c>
      <c r="H22" s="4">
        <v>5</v>
      </c>
      <c r="I22" s="4">
        <v>699.99</v>
      </c>
      <c r="J22" s="4" t="s">
        <v>22</v>
      </c>
      <c r="K22" s="4" t="s">
        <v>52</v>
      </c>
      <c r="L22" s="4" t="s">
        <v>24</v>
      </c>
      <c r="M22" s="5">
        <v>45167</v>
      </c>
      <c r="N22" s="4">
        <v>3499.95</v>
      </c>
    </row>
    <row r="23" spans="1:14" ht="15.75" customHeight="1" x14ac:dyDescent="0.3">
      <c r="A23" s="4" t="s">
        <v>100</v>
      </c>
      <c r="B23" s="5">
        <v>45413</v>
      </c>
      <c r="C23" s="4" t="s">
        <v>101</v>
      </c>
      <c r="D23" s="4" t="s">
        <v>102</v>
      </c>
      <c r="E23" s="4" t="s">
        <v>82</v>
      </c>
      <c r="F23" s="4" t="s">
        <v>83</v>
      </c>
      <c r="G23" s="4" t="s">
        <v>21</v>
      </c>
      <c r="H23" s="4">
        <v>4</v>
      </c>
      <c r="I23" s="4">
        <v>699.99</v>
      </c>
      <c r="J23" s="4" t="s">
        <v>22</v>
      </c>
      <c r="K23" s="4" t="s">
        <v>65</v>
      </c>
      <c r="L23" s="4" t="s">
        <v>38</v>
      </c>
      <c r="M23" s="5">
        <v>44409</v>
      </c>
      <c r="N23" s="4">
        <v>2799.96</v>
      </c>
    </row>
    <row r="24" spans="1:14" ht="15.75" customHeight="1" x14ac:dyDescent="0.3">
      <c r="A24" s="4" t="s">
        <v>103</v>
      </c>
      <c r="B24" s="5">
        <v>45415</v>
      </c>
      <c r="C24" s="4" t="s">
        <v>104</v>
      </c>
      <c r="D24" s="4" t="s">
        <v>105</v>
      </c>
      <c r="E24" s="4" t="s">
        <v>19</v>
      </c>
      <c r="F24" s="4" t="s">
        <v>20</v>
      </c>
      <c r="G24" s="4" t="s">
        <v>21</v>
      </c>
      <c r="H24" s="4">
        <v>4</v>
      </c>
      <c r="I24" s="4">
        <v>249.99</v>
      </c>
      <c r="J24" s="4" t="s">
        <v>36</v>
      </c>
      <c r="K24" s="4" t="s">
        <v>42</v>
      </c>
      <c r="L24" s="4" t="s">
        <v>38</v>
      </c>
      <c r="M24" s="5">
        <v>44468</v>
      </c>
      <c r="N24" s="4">
        <v>999.96</v>
      </c>
    </row>
    <row r="25" spans="1:14" ht="15.75" customHeight="1" x14ac:dyDescent="0.3">
      <c r="A25" s="4" t="s">
        <v>106</v>
      </c>
      <c r="B25" s="5">
        <v>45416</v>
      </c>
      <c r="C25" s="4" t="s">
        <v>88</v>
      </c>
      <c r="D25" s="4" t="s">
        <v>89</v>
      </c>
      <c r="E25" s="4" t="s">
        <v>107</v>
      </c>
      <c r="F25" s="4" t="s">
        <v>108</v>
      </c>
      <c r="G25" s="4" t="s">
        <v>48</v>
      </c>
      <c r="H25" s="4">
        <v>4</v>
      </c>
      <c r="I25" s="4">
        <v>299.99</v>
      </c>
      <c r="J25" s="4" t="s">
        <v>22</v>
      </c>
      <c r="K25" s="4" t="s">
        <v>52</v>
      </c>
      <c r="L25" s="4" t="s">
        <v>29</v>
      </c>
      <c r="M25" s="5">
        <v>44716</v>
      </c>
      <c r="N25" s="4">
        <v>1199.96</v>
      </c>
    </row>
    <row r="26" spans="1:14" ht="15.75" customHeight="1" x14ac:dyDescent="0.3">
      <c r="A26" s="4" t="s">
        <v>109</v>
      </c>
      <c r="B26" s="5">
        <v>45422</v>
      </c>
      <c r="C26" s="4" t="s">
        <v>110</v>
      </c>
      <c r="D26" s="4" t="s">
        <v>111</v>
      </c>
      <c r="E26" s="4" t="s">
        <v>19</v>
      </c>
      <c r="F26" s="4" t="s">
        <v>20</v>
      </c>
      <c r="G26" s="4" t="s">
        <v>21</v>
      </c>
      <c r="H26" s="4">
        <v>5</v>
      </c>
      <c r="I26" s="4">
        <v>249.99</v>
      </c>
      <c r="J26" s="4" t="s">
        <v>28</v>
      </c>
      <c r="K26" s="4" t="s">
        <v>52</v>
      </c>
      <c r="L26" s="4" t="s">
        <v>38</v>
      </c>
      <c r="M26" s="5">
        <v>44525</v>
      </c>
      <c r="N26" s="4">
        <v>1249.95</v>
      </c>
    </row>
    <row r="27" spans="1:14" ht="15.75" customHeight="1" x14ac:dyDescent="0.3">
      <c r="A27" s="4" t="s">
        <v>112</v>
      </c>
      <c r="B27" s="5">
        <v>45424</v>
      </c>
      <c r="C27" s="4" t="s">
        <v>70</v>
      </c>
      <c r="D27" s="4" t="s">
        <v>71</v>
      </c>
      <c r="E27" s="4" t="s">
        <v>107</v>
      </c>
      <c r="F27" s="4" t="s">
        <v>108</v>
      </c>
      <c r="G27" s="4" t="s">
        <v>48</v>
      </c>
      <c r="H27" s="4">
        <v>5</v>
      </c>
      <c r="I27" s="4">
        <v>299.99</v>
      </c>
      <c r="J27" s="4" t="s">
        <v>36</v>
      </c>
      <c r="K27" s="4" t="s">
        <v>65</v>
      </c>
      <c r="L27" s="4" t="s">
        <v>24</v>
      </c>
      <c r="M27" s="5">
        <v>45168</v>
      </c>
      <c r="N27" s="4">
        <v>1499.95</v>
      </c>
    </row>
    <row r="28" spans="1:14" ht="15.75" customHeight="1" x14ac:dyDescent="0.3">
      <c r="A28" s="4" t="s">
        <v>113</v>
      </c>
      <c r="B28" s="5">
        <v>45424</v>
      </c>
      <c r="C28" s="4" t="s">
        <v>114</v>
      </c>
      <c r="D28" s="4" t="s">
        <v>115</v>
      </c>
      <c r="E28" s="4" t="s">
        <v>116</v>
      </c>
      <c r="F28" s="4" t="s">
        <v>117</v>
      </c>
      <c r="G28" s="4" t="s">
        <v>35</v>
      </c>
      <c r="H28" s="4">
        <v>3</v>
      </c>
      <c r="I28" s="4">
        <v>79.989999999999995</v>
      </c>
      <c r="J28" s="4" t="s">
        <v>36</v>
      </c>
      <c r="K28" s="4" t="s">
        <v>65</v>
      </c>
      <c r="L28" s="4" t="s">
        <v>29</v>
      </c>
      <c r="M28" s="5">
        <v>45012</v>
      </c>
      <c r="N28" s="4">
        <v>239.97</v>
      </c>
    </row>
    <row r="29" spans="1:14" ht="15.75" customHeight="1" x14ac:dyDescent="0.3">
      <c r="A29" s="4" t="s">
        <v>118</v>
      </c>
      <c r="B29" s="5">
        <v>45424</v>
      </c>
      <c r="C29" s="4" t="s">
        <v>101</v>
      </c>
      <c r="D29" s="4" t="s">
        <v>102</v>
      </c>
      <c r="E29" s="4" t="s">
        <v>119</v>
      </c>
      <c r="F29" s="4" t="s">
        <v>120</v>
      </c>
      <c r="G29" s="4" t="s">
        <v>21</v>
      </c>
      <c r="H29" s="4">
        <v>5</v>
      </c>
      <c r="I29" s="4">
        <v>89.99</v>
      </c>
      <c r="J29" s="4" t="s">
        <v>22</v>
      </c>
      <c r="K29" s="4" t="s">
        <v>42</v>
      </c>
      <c r="L29" s="4" t="s">
        <v>29</v>
      </c>
      <c r="M29" s="5">
        <v>44919</v>
      </c>
      <c r="N29" s="4">
        <v>449.95</v>
      </c>
    </row>
    <row r="30" spans="1:14" ht="15.75" customHeight="1" x14ac:dyDescent="0.3">
      <c r="A30" s="4" t="s">
        <v>121</v>
      </c>
      <c r="B30" s="5">
        <v>45425</v>
      </c>
      <c r="C30" s="4" t="s">
        <v>122</v>
      </c>
      <c r="D30" s="4" t="s">
        <v>123</v>
      </c>
      <c r="E30" s="4" t="s">
        <v>33</v>
      </c>
      <c r="F30" s="4" t="s">
        <v>34</v>
      </c>
      <c r="G30" s="4" t="s">
        <v>35</v>
      </c>
      <c r="H30" s="4">
        <v>2</v>
      </c>
      <c r="I30" s="4">
        <v>59.99</v>
      </c>
      <c r="J30" s="4" t="s">
        <v>59</v>
      </c>
      <c r="K30" s="4" t="s">
        <v>23</v>
      </c>
      <c r="L30" s="4" t="s">
        <v>38</v>
      </c>
      <c r="M30" s="5">
        <v>45214</v>
      </c>
      <c r="N30" s="4">
        <v>119.98</v>
      </c>
    </row>
    <row r="31" spans="1:14" ht="15.75" customHeight="1" x14ac:dyDescent="0.3">
      <c r="A31" s="4" t="s">
        <v>124</v>
      </c>
      <c r="B31" s="5">
        <v>45427</v>
      </c>
      <c r="C31" s="4" t="s">
        <v>125</v>
      </c>
      <c r="D31" s="4" t="s">
        <v>126</v>
      </c>
      <c r="E31" s="4" t="s">
        <v>33</v>
      </c>
      <c r="F31" s="4" t="s">
        <v>34</v>
      </c>
      <c r="G31" s="4" t="s">
        <v>35</v>
      </c>
      <c r="H31" s="4">
        <v>4</v>
      </c>
      <c r="I31" s="4">
        <v>59.99</v>
      </c>
      <c r="J31" s="4" t="s">
        <v>59</v>
      </c>
      <c r="K31" s="4" t="s">
        <v>65</v>
      </c>
      <c r="L31" s="4" t="s">
        <v>38</v>
      </c>
      <c r="M31" s="5">
        <v>44867</v>
      </c>
      <c r="N31" s="4">
        <v>239.96</v>
      </c>
    </row>
    <row r="32" spans="1:14" ht="15.75" customHeight="1" x14ac:dyDescent="0.3">
      <c r="A32" s="4" t="s">
        <v>127</v>
      </c>
      <c r="B32" s="5">
        <v>45427</v>
      </c>
      <c r="C32" s="4" t="s">
        <v>57</v>
      </c>
      <c r="D32" s="4" t="s">
        <v>58</v>
      </c>
      <c r="E32" s="4" t="s">
        <v>128</v>
      </c>
      <c r="F32" s="4" t="s">
        <v>129</v>
      </c>
      <c r="G32" s="4" t="s">
        <v>48</v>
      </c>
      <c r="H32" s="4">
        <v>5</v>
      </c>
      <c r="I32" s="4">
        <v>199.99</v>
      </c>
      <c r="J32" s="4" t="s">
        <v>22</v>
      </c>
      <c r="K32" s="4" t="s">
        <v>37</v>
      </c>
      <c r="L32" s="4" t="s">
        <v>38</v>
      </c>
      <c r="M32" s="5">
        <v>44412</v>
      </c>
      <c r="N32" s="4">
        <v>999.95</v>
      </c>
    </row>
    <row r="33" spans="1:14" ht="15.75" customHeight="1" x14ac:dyDescent="0.3">
      <c r="A33" s="4" t="s">
        <v>130</v>
      </c>
      <c r="B33" s="5">
        <v>45428</v>
      </c>
      <c r="C33" s="4" t="s">
        <v>131</v>
      </c>
      <c r="D33" s="4" t="s">
        <v>132</v>
      </c>
      <c r="E33" s="4" t="s">
        <v>46</v>
      </c>
      <c r="F33" s="4" t="s">
        <v>47</v>
      </c>
      <c r="G33" s="4" t="s">
        <v>48</v>
      </c>
      <c r="H33" s="4">
        <v>2</v>
      </c>
      <c r="I33" s="4">
        <v>149.99</v>
      </c>
      <c r="J33" s="4" t="s">
        <v>28</v>
      </c>
      <c r="K33" s="4" t="s">
        <v>52</v>
      </c>
      <c r="L33" s="4" t="s">
        <v>24</v>
      </c>
      <c r="M33" s="5">
        <v>44823</v>
      </c>
      <c r="N33" s="4">
        <v>299.98</v>
      </c>
    </row>
    <row r="34" spans="1:14" ht="15.75" customHeight="1" x14ac:dyDescent="0.3">
      <c r="A34" s="4" t="s">
        <v>133</v>
      </c>
      <c r="B34" s="5">
        <v>45430</v>
      </c>
      <c r="C34" s="4" t="s">
        <v>134</v>
      </c>
      <c r="D34" s="4" t="s">
        <v>135</v>
      </c>
      <c r="E34" s="4" t="s">
        <v>46</v>
      </c>
      <c r="F34" s="4" t="s">
        <v>47</v>
      </c>
      <c r="G34" s="4" t="s">
        <v>48</v>
      </c>
      <c r="H34" s="4">
        <v>3</v>
      </c>
      <c r="I34" s="4">
        <v>149.99</v>
      </c>
      <c r="J34" s="4" t="s">
        <v>28</v>
      </c>
      <c r="K34" s="4" t="s">
        <v>52</v>
      </c>
      <c r="L34" s="4" t="s">
        <v>29</v>
      </c>
      <c r="M34" s="5">
        <v>45068</v>
      </c>
      <c r="N34" s="4">
        <v>449.97</v>
      </c>
    </row>
    <row r="35" spans="1:14" ht="15.75" customHeight="1" x14ac:dyDescent="0.3">
      <c r="A35" s="4" t="s">
        <v>136</v>
      </c>
      <c r="B35" s="5">
        <v>45432</v>
      </c>
      <c r="C35" s="4" t="s">
        <v>31</v>
      </c>
      <c r="D35" s="4" t="s">
        <v>32</v>
      </c>
      <c r="E35" s="4" t="s">
        <v>63</v>
      </c>
      <c r="F35" s="4" t="s">
        <v>64</v>
      </c>
      <c r="G35" s="4" t="s">
        <v>21</v>
      </c>
      <c r="H35" s="4">
        <v>1</v>
      </c>
      <c r="I35" s="4">
        <v>899.99</v>
      </c>
      <c r="J35" s="4" t="s">
        <v>28</v>
      </c>
      <c r="K35" s="4" t="s">
        <v>52</v>
      </c>
      <c r="L35" s="4" t="s">
        <v>29</v>
      </c>
      <c r="M35" s="5">
        <v>44578</v>
      </c>
      <c r="N35" s="4">
        <v>899.99</v>
      </c>
    </row>
    <row r="36" spans="1:14" ht="15.75" customHeight="1" x14ac:dyDescent="0.3">
      <c r="A36" s="4" t="s">
        <v>137</v>
      </c>
      <c r="B36" s="5">
        <v>45434</v>
      </c>
      <c r="C36" s="4" t="s">
        <v>101</v>
      </c>
      <c r="D36" s="4" t="s">
        <v>102</v>
      </c>
      <c r="E36" s="4" t="s">
        <v>107</v>
      </c>
      <c r="F36" s="4" t="s">
        <v>108</v>
      </c>
      <c r="G36" s="4" t="s">
        <v>48</v>
      </c>
      <c r="H36" s="4">
        <v>3</v>
      </c>
      <c r="I36" s="4">
        <v>299.99</v>
      </c>
      <c r="J36" s="4" t="s">
        <v>28</v>
      </c>
      <c r="K36" s="4" t="s">
        <v>65</v>
      </c>
      <c r="L36" s="4" t="s">
        <v>24</v>
      </c>
      <c r="M36" s="5">
        <v>44824</v>
      </c>
      <c r="N36" s="4">
        <v>899.97</v>
      </c>
    </row>
    <row r="37" spans="1:14" ht="15.75" customHeight="1" x14ac:dyDescent="0.3">
      <c r="A37" s="4" t="s">
        <v>138</v>
      </c>
      <c r="B37" s="5">
        <v>45435</v>
      </c>
      <c r="C37" s="4" t="s">
        <v>131</v>
      </c>
      <c r="D37" s="4" t="s">
        <v>132</v>
      </c>
      <c r="E37" s="4" t="s">
        <v>116</v>
      </c>
      <c r="F37" s="4" t="s">
        <v>117</v>
      </c>
      <c r="G37" s="4" t="s">
        <v>35</v>
      </c>
      <c r="H37" s="4">
        <v>3</v>
      </c>
      <c r="I37" s="4">
        <v>79.989999999999995</v>
      </c>
      <c r="J37" s="4" t="s">
        <v>22</v>
      </c>
      <c r="K37" s="4" t="s">
        <v>37</v>
      </c>
      <c r="L37" s="4" t="s">
        <v>24</v>
      </c>
      <c r="M37" s="5">
        <v>45046</v>
      </c>
      <c r="N37" s="4">
        <v>239.97</v>
      </c>
    </row>
    <row r="38" spans="1:14" ht="15.75" customHeight="1" x14ac:dyDescent="0.3">
      <c r="A38" s="4" t="s">
        <v>139</v>
      </c>
      <c r="B38" s="5">
        <v>45438</v>
      </c>
      <c r="C38" s="4" t="s">
        <v>140</v>
      </c>
      <c r="D38" s="4" t="s">
        <v>141</v>
      </c>
      <c r="E38" s="4" t="s">
        <v>128</v>
      </c>
      <c r="F38" s="4" t="s">
        <v>129</v>
      </c>
      <c r="G38" s="4" t="s">
        <v>48</v>
      </c>
      <c r="H38" s="4">
        <v>3</v>
      </c>
      <c r="I38" s="4">
        <v>199.99</v>
      </c>
      <c r="J38" s="4" t="s">
        <v>28</v>
      </c>
      <c r="K38" s="4" t="s">
        <v>42</v>
      </c>
      <c r="L38" s="4" t="s">
        <v>29</v>
      </c>
      <c r="M38" s="5">
        <v>45292</v>
      </c>
      <c r="N38" s="4">
        <v>599.97</v>
      </c>
    </row>
    <row r="39" spans="1:14" ht="15.75" customHeight="1" x14ac:dyDescent="0.3">
      <c r="A39" s="4" t="s">
        <v>142</v>
      </c>
      <c r="B39" s="5">
        <v>45440</v>
      </c>
      <c r="C39" s="4" t="s">
        <v>143</v>
      </c>
      <c r="D39" s="4" t="s">
        <v>144</v>
      </c>
      <c r="E39" s="4" t="s">
        <v>82</v>
      </c>
      <c r="F39" s="4" t="s">
        <v>83</v>
      </c>
      <c r="G39" s="4" t="s">
        <v>21</v>
      </c>
      <c r="H39" s="4">
        <v>5</v>
      </c>
      <c r="I39" s="4">
        <v>699.99</v>
      </c>
      <c r="J39" s="4" t="s">
        <v>36</v>
      </c>
      <c r="K39" s="4" t="s">
        <v>52</v>
      </c>
      <c r="L39" s="4" t="s">
        <v>38</v>
      </c>
      <c r="M39" s="5">
        <v>44407</v>
      </c>
      <c r="N39" s="4">
        <v>3499.95</v>
      </c>
    </row>
    <row r="40" spans="1:14" ht="15.75" customHeight="1" x14ac:dyDescent="0.3">
      <c r="A40" s="4" t="s">
        <v>145</v>
      </c>
      <c r="B40" s="5">
        <v>45441</v>
      </c>
      <c r="C40" s="4" t="s">
        <v>146</v>
      </c>
      <c r="D40" s="4" t="s">
        <v>147</v>
      </c>
      <c r="E40" s="4" t="s">
        <v>119</v>
      </c>
      <c r="F40" s="4" t="s">
        <v>120</v>
      </c>
      <c r="G40" s="4" t="s">
        <v>21</v>
      </c>
      <c r="H40" s="4">
        <v>3</v>
      </c>
      <c r="I40" s="4">
        <v>89.99</v>
      </c>
      <c r="J40" s="4" t="s">
        <v>36</v>
      </c>
      <c r="K40" s="4" t="s">
        <v>23</v>
      </c>
      <c r="L40" s="4" t="s">
        <v>29</v>
      </c>
      <c r="M40" s="5">
        <v>45120</v>
      </c>
      <c r="N40" s="4">
        <v>269.97000000000003</v>
      </c>
    </row>
    <row r="41" spans="1:14" ht="15.75" customHeight="1" x14ac:dyDescent="0.3">
      <c r="A41" s="4" t="s">
        <v>148</v>
      </c>
      <c r="B41" s="5">
        <v>45443</v>
      </c>
      <c r="C41" s="4" t="s">
        <v>149</v>
      </c>
      <c r="D41" s="4" t="s">
        <v>150</v>
      </c>
      <c r="E41" s="4" t="s">
        <v>116</v>
      </c>
      <c r="F41" s="4" t="s">
        <v>117</v>
      </c>
      <c r="G41" s="4" t="s">
        <v>35</v>
      </c>
      <c r="H41" s="4">
        <v>1</v>
      </c>
      <c r="I41" s="4">
        <v>79.989999999999995</v>
      </c>
      <c r="J41" s="4" t="s">
        <v>22</v>
      </c>
      <c r="K41" s="4" t="s">
        <v>42</v>
      </c>
      <c r="L41" s="4" t="s">
        <v>38</v>
      </c>
      <c r="M41" s="5">
        <v>44917</v>
      </c>
      <c r="N41" s="4">
        <v>79.989999999999995</v>
      </c>
    </row>
    <row r="42" spans="1:14" ht="15.75" customHeight="1" x14ac:dyDescent="0.3">
      <c r="A42" s="4" t="s">
        <v>151</v>
      </c>
      <c r="B42" s="5">
        <v>45444</v>
      </c>
      <c r="C42" s="4" t="s">
        <v>152</v>
      </c>
      <c r="D42" s="4" t="s">
        <v>153</v>
      </c>
      <c r="E42" s="4" t="s">
        <v>33</v>
      </c>
      <c r="F42" s="4" t="s">
        <v>34</v>
      </c>
      <c r="G42" s="4" t="s">
        <v>35</v>
      </c>
      <c r="H42" s="4">
        <v>2</v>
      </c>
      <c r="I42" s="4">
        <v>59.99</v>
      </c>
      <c r="J42" s="4" t="s">
        <v>22</v>
      </c>
      <c r="K42" s="4" t="s">
        <v>52</v>
      </c>
      <c r="L42" s="4" t="s">
        <v>24</v>
      </c>
      <c r="M42" s="5">
        <v>45390</v>
      </c>
      <c r="N42" s="4">
        <v>119.98</v>
      </c>
    </row>
    <row r="43" spans="1:14" ht="15.75" customHeight="1" x14ac:dyDescent="0.3">
      <c r="A43" s="4" t="s">
        <v>154</v>
      </c>
      <c r="B43" s="5">
        <v>45444</v>
      </c>
      <c r="C43" s="4" t="s">
        <v>57</v>
      </c>
      <c r="D43" s="4" t="s">
        <v>58</v>
      </c>
      <c r="E43" s="4" t="s">
        <v>119</v>
      </c>
      <c r="F43" s="4" t="s">
        <v>120</v>
      </c>
      <c r="G43" s="4" t="s">
        <v>21</v>
      </c>
      <c r="H43" s="4">
        <v>1</v>
      </c>
      <c r="I43" s="4">
        <v>89.99</v>
      </c>
      <c r="J43" s="4" t="s">
        <v>22</v>
      </c>
      <c r="K43" s="4" t="s">
        <v>42</v>
      </c>
      <c r="L43" s="4" t="s">
        <v>24</v>
      </c>
      <c r="M43" s="5">
        <v>45141</v>
      </c>
      <c r="N43" s="4">
        <v>89.99</v>
      </c>
    </row>
    <row r="44" spans="1:14" ht="15.75" customHeight="1" x14ac:dyDescent="0.3">
      <c r="A44" s="4" t="s">
        <v>155</v>
      </c>
      <c r="B44" s="5">
        <v>45446</v>
      </c>
      <c r="C44" s="4" t="s">
        <v>156</v>
      </c>
      <c r="D44" s="4" t="s">
        <v>157</v>
      </c>
      <c r="E44" s="4" t="s">
        <v>119</v>
      </c>
      <c r="F44" s="4" t="s">
        <v>120</v>
      </c>
      <c r="G44" s="4" t="s">
        <v>21</v>
      </c>
      <c r="H44" s="4">
        <v>5</v>
      </c>
      <c r="I44" s="4">
        <v>89.99</v>
      </c>
      <c r="J44" s="4" t="s">
        <v>28</v>
      </c>
      <c r="K44" s="4" t="s">
        <v>65</v>
      </c>
      <c r="L44" s="4" t="s">
        <v>38</v>
      </c>
      <c r="M44" s="5">
        <v>44587</v>
      </c>
      <c r="N44" s="4">
        <v>449.95</v>
      </c>
    </row>
    <row r="45" spans="1:14" ht="15.75" customHeight="1" x14ac:dyDescent="0.3">
      <c r="A45" s="4" t="s">
        <v>158</v>
      </c>
      <c r="B45" s="5">
        <v>45449</v>
      </c>
      <c r="C45" s="4" t="s">
        <v>26</v>
      </c>
      <c r="D45" s="4" t="s">
        <v>27</v>
      </c>
      <c r="E45" s="4" t="s">
        <v>19</v>
      </c>
      <c r="F45" s="4" t="s">
        <v>20</v>
      </c>
      <c r="G45" s="4" t="s">
        <v>21</v>
      </c>
      <c r="H45" s="4">
        <v>5</v>
      </c>
      <c r="I45" s="4">
        <v>249.99</v>
      </c>
      <c r="J45" s="4" t="s">
        <v>28</v>
      </c>
      <c r="K45" s="4" t="s">
        <v>65</v>
      </c>
      <c r="L45" s="4" t="s">
        <v>38</v>
      </c>
      <c r="M45" s="5">
        <v>44707</v>
      </c>
      <c r="N45" s="4">
        <v>1249.95</v>
      </c>
    </row>
    <row r="46" spans="1:14" ht="15.75" customHeight="1" x14ac:dyDescent="0.3">
      <c r="A46" s="4" t="s">
        <v>159</v>
      </c>
      <c r="B46" s="5">
        <v>45449</v>
      </c>
      <c r="C46" s="4" t="s">
        <v>160</v>
      </c>
      <c r="D46" s="4" t="s">
        <v>161</v>
      </c>
      <c r="E46" s="4" t="s">
        <v>119</v>
      </c>
      <c r="F46" s="4" t="s">
        <v>120</v>
      </c>
      <c r="G46" s="4" t="s">
        <v>21</v>
      </c>
      <c r="H46" s="4">
        <v>1</v>
      </c>
      <c r="I46" s="4">
        <v>89.99</v>
      </c>
      <c r="J46" s="4" t="s">
        <v>28</v>
      </c>
      <c r="K46" s="4" t="s">
        <v>37</v>
      </c>
      <c r="L46" s="4" t="s">
        <v>38</v>
      </c>
      <c r="M46" s="5">
        <v>44582</v>
      </c>
      <c r="N46" s="4">
        <v>89.99</v>
      </c>
    </row>
    <row r="47" spans="1:14" ht="15.75" customHeight="1" x14ac:dyDescent="0.3">
      <c r="A47" s="4" t="s">
        <v>162</v>
      </c>
      <c r="B47" s="5">
        <v>45450</v>
      </c>
      <c r="C47" s="4" t="s">
        <v>44</v>
      </c>
      <c r="D47" s="4" t="s">
        <v>45</v>
      </c>
      <c r="E47" s="4" t="s">
        <v>46</v>
      </c>
      <c r="F47" s="4" t="s">
        <v>47</v>
      </c>
      <c r="G47" s="4" t="s">
        <v>48</v>
      </c>
      <c r="H47" s="4">
        <v>2</v>
      </c>
      <c r="I47" s="4">
        <v>149.99</v>
      </c>
      <c r="J47" s="4" t="s">
        <v>22</v>
      </c>
      <c r="K47" s="4" t="s">
        <v>65</v>
      </c>
      <c r="L47" s="4" t="s">
        <v>29</v>
      </c>
      <c r="M47" s="5">
        <v>44645</v>
      </c>
      <c r="N47" s="4">
        <v>299.98</v>
      </c>
    </row>
    <row r="48" spans="1:14" ht="15.75" customHeight="1" x14ac:dyDescent="0.3">
      <c r="A48" s="4" t="s">
        <v>163</v>
      </c>
      <c r="B48" s="5">
        <v>45452</v>
      </c>
      <c r="C48" s="4" t="s">
        <v>164</v>
      </c>
      <c r="D48" s="4" t="s">
        <v>165</v>
      </c>
      <c r="E48" s="4" t="s">
        <v>33</v>
      </c>
      <c r="F48" s="4" t="s">
        <v>34</v>
      </c>
      <c r="G48" s="4" t="s">
        <v>35</v>
      </c>
      <c r="H48" s="4">
        <v>4</v>
      </c>
      <c r="I48" s="4">
        <v>59.99</v>
      </c>
      <c r="J48" s="4" t="s">
        <v>22</v>
      </c>
      <c r="K48" s="4" t="s">
        <v>65</v>
      </c>
      <c r="L48" s="4" t="s">
        <v>38</v>
      </c>
      <c r="M48" s="5">
        <v>44435</v>
      </c>
      <c r="N48" s="4">
        <v>239.96</v>
      </c>
    </row>
    <row r="49" spans="1:14" ht="15.75" customHeight="1" x14ac:dyDescent="0.3">
      <c r="A49" s="4" t="s">
        <v>166</v>
      </c>
      <c r="B49" s="5">
        <v>45456</v>
      </c>
      <c r="C49" s="4" t="s">
        <v>131</v>
      </c>
      <c r="D49" s="4" t="s">
        <v>132</v>
      </c>
      <c r="E49" s="4" t="s">
        <v>119</v>
      </c>
      <c r="F49" s="4" t="s">
        <v>120</v>
      </c>
      <c r="G49" s="4" t="s">
        <v>21</v>
      </c>
      <c r="H49" s="4">
        <v>5</v>
      </c>
      <c r="I49" s="4">
        <v>89.99</v>
      </c>
      <c r="J49" s="4" t="s">
        <v>22</v>
      </c>
      <c r="K49" s="4" t="s">
        <v>23</v>
      </c>
      <c r="L49" s="4" t="s">
        <v>29</v>
      </c>
      <c r="M49" s="5">
        <v>44579</v>
      </c>
      <c r="N49" s="4">
        <v>449.95</v>
      </c>
    </row>
    <row r="50" spans="1:14" ht="15.75" customHeight="1" x14ac:dyDescent="0.3">
      <c r="A50" s="4" t="s">
        <v>167</v>
      </c>
      <c r="B50" s="5">
        <v>45459</v>
      </c>
      <c r="C50" s="4" t="s">
        <v>101</v>
      </c>
      <c r="D50" s="4" t="s">
        <v>102</v>
      </c>
      <c r="E50" s="4" t="s">
        <v>119</v>
      </c>
      <c r="F50" s="4" t="s">
        <v>120</v>
      </c>
      <c r="G50" s="4" t="s">
        <v>21</v>
      </c>
      <c r="H50" s="4">
        <v>2</v>
      </c>
      <c r="I50" s="4">
        <v>89.99</v>
      </c>
      <c r="J50" s="4" t="s">
        <v>28</v>
      </c>
      <c r="K50" s="4" t="s">
        <v>37</v>
      </c>
      <c r="L50" s="4" t="s">
        <v>29</v>
      </c>
      <c r="M50" s="5">
        <v>44471</v>
      </c>
      <c r="N50" s="4">
        <v>179.98</v>
      </c>
    </row>
    <row r="51" spans="1:14" ht="15.75" customHeight="1" x14ac:dyDescent="0.3">
      <c r="A51" s="4" t="s">
        <v>168</v>
      </c>
      <c r="B51" s="5">
        <v>45459</v>
      </c>
      <c r="C51" s="4" t="s">
        <v>17</v>
      </c>
      <c r="D51" s="4" t="s">
        <v>18</v>
      </c>
      <c r="E51" s="4" t="s">
        <v>63</v>
      </c>
      <c r="F51" s="4" t="s">
        <v>64</v>
      </c>
      <c r="G51" s="4" t="s">
        <v>21</v>
      </c>
      <c r="H51" s="4">
        <v>5</v>
      </c>
      <c r="I51" s="4">
        <v>899.99</v>
      </c>
      <c r="J51" s="4" t="s">
        <v>28</v>
      </c>
      <c r="K51" s="4" t="s">
        <v>37</v>
      </c>
      <c r="L51" s="4" t="s">
        <v>38</v>
      </c>
      <c r="M51" s="5">
        <v>44974</v>
      </c>
      <c r="N51" s="4">
        <v>4499.95</v>
      </c>
    </row>
    <row r="52" spans="1:14" ht="15.75" customHeight="1" x14ac:dyDescent="0.3">
      <c r="A52" s="4" t="s">
        <v>169</v>
      </c>
      <c r="B52" s="5">
        <v>45459</v>
      </c>
      <c r="C52" s="4" t="s">
        <v>125</v>
      </c>
      <c r="D52" s="4" t="s">
        <v>126</v>
      </c>
      <c r="E52" s="4" t="s">
        <v>63</v>
      </c>
      <c r="F52" s="4" t="s">
        <v>64</v>
      </c>
      <c r="G52" s="4" t="s">
        <v>21</v>
      </c>
      <c r="H52" s="4">
        <v>5</v>
      </c>
      <c r="I52" s="4">
        <v>899.99</v>
      </c>
      <c r="J52" s="4" t="s">
        <v>36</v>
      </c>
      <c r="K52" s="4" t="s">
        <v>65</v>
      </c>
      <c r="L52" s="4" t="s">
        <v>29</v>
      </c>
      <c r="M52" s="5">
        <v>45278</v>
      </c>
      <c r="N52" s="4">
        <v>4499.95</v>
      </c>
    </row>
    <row r="53" spans="1:14" ht="15.75" customHeight="1" x14ac:dyDescent="0.3">
      <c r="A53" s="4" t="s">
        <v>170</v>
      </c>
      <c r="B53" s="5">
        <v>45460</v>
      </c>
      <c r="C53" s="4" t="s">
        <v>160</v>
      </c>
      <c r="D53" s="4" t="s">
        <v>161</v>
      </c>
      <c r="E53" s="4" t="s">
        <v>33</v>
      </c>
      <c r="F53" s="4" t="s">
        <v>34</v>
      </c>
      <c r="G53" s="4" t="s">
        <v>35</v>
      </c>
      <c r="H53" s="4">
        <v>1</v>
      </c>
      <c r="I53" s="4">
        <v>59.99</v>
      </c>
      <c r="J53" s="4" t="s">
        <v>59</v>
      </c>
      <c r="K53" s="4" t="s">
        <v>52</v>
      </c>
      <c r="L53" s="4" t="s">
        <v>29</v>
      </c>
      <c r="M53" s="5">
        <v>45190</v>
      </c>
      <c r="N53" s="4">
        <v>59.99</v>
      </c>
    </row>
    <row r="54" spans="1:14" ht="15.75" customHeight="1" x14ac:dyDescent="0.3">
      <c r="A54" s="4" t="s">
        <v>171</v>
      </c>
      <c r="B54" s="5">
        <v>45460</v>
      </c>
      <c r="C54" s="4" t="s">
        <v>143</v>
      </c>
      <c r="D54" s="4" t="s">
        <v>144</v>
      </c>
      <c r="E54" s="4" t="s">
        <v>107</v>
      </c>
      <c r="F54" s="4" t="s">
        <v>108</v>
      </c>
      <c r="G54" s="4" t="s">
        <v>48</v>
      </c>
      <c r="H54" s="4">
        <v>2</v>
      </c>
      <c r="I54" s="4">
        <v>299.99</v>
      </c>
      <c r="J54" s="4" t="s">
        <v>59</v>
      </c>
      <c r="K54" s="4" t="s">
        <v>65</v>
      </c>
      <c r="L54" s="4" t="s">
        <v>38</v>
      </c>
      <c r="M54" s="5">
        <v>45253</v>
      </c>
      <c r="N54" s="4">
        <v>599.98</v>
      </c>
    </row>
    <row r="55" spans="1:14" ht="15.75" customHeight="1" x14ac:dyDescent="0.3">
      <c r="A55" s="4" t="s">
        <v>172</v>
      </c>
      <c r="B55" s="5">
        <v>45468</v>
      </c>
      <c r="C55" s="4" t="s">
        <v>173</v>
      </c>
      <c r="D55" s="4" t="s">
        <v>174</v>
      </c>
      <c r="E55" s="4" t="s">
        <v>119</v>
      </c>
      <c r="F55" s="4" t="s">
        <v>120</v>
      </c>
      <c r="G55" s="4" t="s">
        <v>21</v>
      </c>
      <c r="H55" s="4">
        <v>4</v>
      </c>
      <c r="I55" s="4">
        <v>89.99</v>
      </c>
      <c r="J55" s="4" t="s">
        <v>59</v>
      </c>
      <c r="K55" s="4" t="s">
        <v>37</v>
      </c>
      <c r="L55" s="4" t="s">
        <v>24</v>
      </c>
      <c r="M55" s="5">
        <v>45281</v>
      </c>
      <c r="N55" s="4">
        <v>359.96</v>
      </c>
    </row>
    <row r="56" spans="1:14" ht="15.75" customHeight="1" x14ac:dyDescent="0.3">
      <c r="A56" s="4" t="s">
        <v>175</v>
      </c>
      <c r="B56" s="5">
        <v>45469</v>
      </c>
      <c r="C56" s="4" t="s">
        <v>31</v>
      </c>
      <c r="D56" s="4" t="s">
        <v>32</v>
      </c>
      <c r="E56" s="4" t="s">
        <v>116</v>
      </c>
      <c r="F56" s="4" t="s">
        <v>117</v>
      </c>
      <c r="G56" s="4" t="s">
        <v>35</v>
      </c>
      <c r="H56" s="4">
        <v>1</v>
      </c>
      <c r="I56" s="4">
        <v>79.989999999999995</v>
      </c>
      <c r="J56" s="4" t="s">
        <v>36</v>
      </c>
      <c r="K56" s="4" t="s">
        <v>23</v>
      </c>
      <c r="L56" s="4" t="s">
        <v>29</v>
      </c>
      <c r="M56" s="5">
        <v>45352</v>
      </c>
      <c r="N56" s="4">
        <v>79.989999999999995</v>
      </c>
    </row>
    <row r="57" spans="1:14" ht="15.75" customHeight="1" x14ac:dyDescent="0.3">
      <c r="A57" s="4" t="s">
        <v>176</v>
      </c>
      <c r="B57" s="5">
        <v>45469</v>
      </c>
      <c r="C57" s="4" t="s">
        <v>61</v>
      </c>
      <c r="D57" s="4" t="s">
        <v>62</v>
      </c>
      <c r="E57" s="4" t="s">
        <v>119</v>
      </c>
      <c r="F57" s="4" t="s">
        <v>120</v>
      </c>
      <c r="G57" s="4" t="s">
        <v>21</v>
      </c>
      <c r="H57" s="4">
        <v>2</v>
      </c>
      <c r="I57" s="4">
        <v>89.99</v>
      </c>
      <c r="J57" s="4" t="s">
        <v>22</v>
      </c>
      <c r="K57" s="4" t="s">
        <v>52</v>
      </c>
      <c r="L57" s="4" t="s">
        <v>24</v>
      </c>
      <c r="M57" s="5">
        <v>44438</v>
      </c>
      <c r="N57" s="4">
        <v>179.98</v>
      </c>
    </row>
    <row r="58" spans="1:14" ht="15.75" customHeight="1" x14ac:dyDescent="0.3">
      <c r="A58" s="4" t="s">
        <v>177</v>
      </c>
      <c r="B58" s="5">
        <v>45471</v>
      </c>
      <c r="C58" s="4" t="s">
        <v>40</v>
      </c>
      <c r="D58" s="4" t="s">
        <v>41</v>
      </c>
      <c r="E58" s="4" t="s">
        <v>82</v>
      </c>
      <c r="F58" s="4" t="s">
        <v>83</v>
      </c>
      <c r="G58" s="4" t="s">
        <v>21</v>
      </c>
      <c r="H58" s="4">
        <v>3</v>
      </c>
      <c r="I58" s="4">
        <v>699.99</v>
      </c>
      <c r="J58" s="4" t="s">
        <v>28</v>
      </c>
      <c r="K58" s="4" t="s">
        <v>65</v>
      </c>
      <c r="L58" s="4" t="s">
        <v>29</v>
      </c>
      <c r="M58" s="5">
        <v>45102</v>
      </c>
      <c r="N58" s="4">
        <v>2099.9699999999998</v>
      </c>
    </row>
    <row r="59" spans="1:14" ht="15.75" customHeight="1" x14ac:dyDescent="0.3">
      <c r="A59" s="4" t="s">
        <v>178</v>
      </c>
      <c r="B59" s="5">
        <v>45471</v>
      </c>
      <c r="C59" s="4" t="s">
        <v>101</v>
      </c>
      <c r="D59" s="4" t="s">
        <v>102</v>
      </c>
      <c r="E59" s="4" t="s">
        <v>63</v>
      </c>
      <c r="F59" s="4" t="s">
        <v>64</v>
      </c>
      <c r="G59" s="4" t="s">
        <v>21</v>
      </c>
      <c r="H59" s="4">
        <v>4</v>
      </c>
      <c r="I59" s="4">
        <v>899.99</v>
      </c>
      <c r="J59" s="4" t="s">
        <v>28</v>
      </c>
      <c r="K59" s="4" t="s">
        <v>65</v>
      </c>
      <c r="L59" s="4" t="s">
        <v>29</v>
      </c>
      <c r="M59" s="5">
        <v>44993</v>
      </c>
      <c r="N59" s="4">
        <v>3599.96</v>
      </c>
    </row>
    <row r="60" spans="1:14" ht="15.75" customHeight="1" x14ac:dyDescent="0.3">
      <c r="A60" s="4" t="s">
        <v>179</v>
      </c>
      <c r="B60" s="5">
        <v>45472</v>
      </c>
      <c r="C60" s="4" t="s">
        <v>122</v>
      </c>
      <c r="D60" s="4" t="s">
        <v>123</v>
      </c>
      <c r="E60" s="4" t="s">
        <v>46</v>
      </c>
      <c r="F60" s="4" t="s">
        <v>47</v>
      </c>
      <c r="G60" s="4" t="s">
        <v>48</v>
      </c>
      <c r="H60" s="4">
        <v>1</v>
      </c>
      <c r="I60" s="4">
        <v>149.99</v>
      </c>
      <c r="J60" s="4" t="s">
        <v>36</v>
      </c>
      <c r="K60" s="4" t="s">
        <v>65</v>
      </c>
      <c r="L60" s="4" t="s">
        <v>24</v>
      </c>
      <c r="M60" s="5">
        <v>44851</v>
      </c>
      <c r="N60" s="4">
        <v>149.99</v>
      </c>
    </row>
    <row r="61" spans="1:14" ht="15.75" customHeight="1" x14ac:dyDescent="0.3">
      <c r="A61" s="4" t="s">
        <v>180</v>
      </c>
      <c r="B61" s="5">
        <v>45474</v>
      </c>
      <c r="C61" s="4" t="s">
        <v>134</v>
      </c>
      <c r="D61" s="4" t="s">
        <v>135</v>
      </c>
      <c r="E61" s="4" t="s">
        <v>119</v>
      </c>
      <c r="F61" s="4" t="s">
        <v>120</v>
      </c>
      <c r="G61" s="4" t="s">
        <v>21</v>
      </c>
      <c r="H61" s="4">
        <v>2</v>
      </c>
      <c r="I61" s="4">
        <v>89.99</v>
      </c>
      <c r="J61" s="4" t="s">
        <v>36</v>
      </c>
      <c r="K61" s="4" t="s">
        <v>23</v>
      </c>
      <c r="L61" s="4" t="s">
        <v>29</v>
      </c>
      <c r="M61" s="5">
        <v>45275</v>
      </c>
      <c r="N61" s="4">
        <v>179.98</v>
      </c>
    </row>
    <row r="62" spans="1:14" ht="15.75" customHeight="1" x14ac:dyDescent="0.3">
      <c r="A62" s="4" t="s">
        <v>181</v>
      </c>
      <c r="B62" s="5">
        <v>45475</v>
      </c>
      <c r="C62" s="4" t="s">
        <v>57</v>
      </c>
      <c r="D62" s="4" t="s">
        <v>58</v>
      </c>
      <c r="E62" s="4" t="s">
        <v>119</v>
      </c>
      <c r="F62" s="4" t="s">
        <v>120</v>
      </c>
      <c r="G62" s="4" t="s">
        <v>21</v>
      </c>
      <c r="H62" s="4">
        <v>1</v>
      </c>
      <c r="I62" s="4">
        <v>89.99</v>
      </c>
      <c r="J62" s="4" t="s">
        <v>36</v>
      </c>
      <c r="K62" s="4" t="s">
        <v>52</v>
      </c>
      <c r="L62" s="4" t="s">
        <v>38</v>
      </c>
      <c r="M62" s="5">
        <v>44802</v>
      </c>
      <c r="N62" s="4">
        <v>89.99</v>
      </c>
    </row>
    <row r="63" spans="1:14" ht="15.75" customHeight="1" x14ac:dyDescent="0.3">
      <c r="A63" s="4" t="s">
        <v>182</v>
      </c>
      <c r="B63" s="5">
        <v>45476</v>
      </c>
      <c r="C63" s="4" t="s">
        <v>70</v>
      </c>
      <c r="D63" s="4" t="s">
        <v>71</v>
      </c>
      <c r="E63" s="4" t="s">
        <v>119</v>
      </c>
      <c r="F63" s="4" t="s">
        <v>120</v>
      </c>
      <c r="G63" s="4" t="s">
        <v>21</v>
      </c>
      <c r="H63" s="4">
        <v>1</v>
      </c>
      <c r="I63" s="4">
        <v>89.99</v>
      </c>
      <c r="J63" s="4" t="s">
        <v>22</v>
      </c>
      <c r="K63" s="4" t="s">
        <v>37</v>
      </c>
      <c r="L63" s="4" t="s">
        <v>38</v>
      </c>
      <c r="M63" s="5">
        <v>44611</v>
      </c>
      <c r="N63" s="4">
        <v>89.99</v>
      </c>
    </row>
    <row r="64" spans="1:14" ht="15.75" customHeight="1" x14ac:dyDescent="0.3">
      <c r="A64" s="4" t="s">
        <v>183</v>
      </c>
      <c r="B64" s="5">
        <v>45476</v>
      </c>
      <c r="C64" s="4" t="s">
        <v>184</v>
      </c>
      <c r="D64" s="4" t="s">
        <v>185</v>
      </c>
      <c r="E64" s="4" t="s">
        <v>116</v>
      </c>
      <c r="F64" s="4" t="s">
        <v>117</v>
      </c>
      <c r="G64" s="4" t="s">
        <v>35</v>
      </c>
      <c r="H64" s="4">
        <v>5</v>
      </c>
      <c r="I64" s="4">
        <v>79.989999999999995</v>
      </c>
      <c r="J64" s="4" t="s">
        <v>59</v>
      </c>
      <c r="K64" s="4" t="s">
        <v>23</v>
      </c>
      <c r="L64" s="4" t="s">
        <v>24</v>
      </c>
      <c r="M64" s="5">
        <v>44981</v>
      </c>
      <c r="N64" s="4">
        <v>399.95</v>
      </c>
    </row>
    <row r="65" spans="1:14" ht="15.75" customHeight="1" x14ac:dyDescent="0.3">
      <c r="A65" s="4" t="s">
        <v>186</v>
      </c>
      <c r="B65" s="5">
        <v>45481</v>
      </c>
      <c r="C65" s="4" t="s">
        <v>187</v>
      </c>
      <c r="D65" s="4" t="s">
        <v>188</v>
      </c>
      <c r="E65" s="4" t="s">
        <v>46</v>
      </c>
      <c r="F65" s="4" t="s">
        <v>47</v>
      </c>
      <c r="G65" s="4" t="s">
        <v>48</v>
      </c>
      <c r="H65" s="4">
        <v>1</v>
      </c>
      <c r="I65" s="4">
        <v>149.99</v>
      </c>
      <c r="J65" s="4" t="s">
        <v>36</v>
      </c>
      <c r="K65" s="4" t="s">
        <v>42</v>
      </c>
      <c r="L65" s="4" t="s">
        <v>24</v>
      </c>
      <c r="M65" s="5">
        <v>44421</v>
      </c>
      <c r="N65" s="4">
        <v>149.99</v>
      </c>
    </row>
    <row r="66" spans="1:14" ht="15.75" customHeight="1" x14ac:dyDescent="0.3">
      <c r="A66" s="4" t="s">
        <v>189</v>
      </c>
      <c r="B66" s="5">
        <v>45481</v>
      </c>
      <c r="C66" s="4" t="s">
        <v>44</v>
      </c>
      <c r="D66" s="4" t="s">
        <v>45</v>
      </c>
      <c r="E66" s="4" t="s">
        <v>82</v>
      </c>
      <c r="F66" s="4" t="s">
        <v>83</v>
      </c>
      <c r="G66" s="4" t="s">
        <v>21</v>
      </c>
      <c r="H66" s="4">
        <v>2</v>
      </c>
      <c r="I66" s="4">
        <v>699.99</v>
      </c>
      <c r="J66" s="4" t="s">
        <v>36</v>
      </c>
      <c r="K66" s="4" t="s">
        <v>65</v>
      </c>
      <c r="L66" s="4" t="s">
        <v>29</v>
      </c>
      <c r="M66" s="5">
        <v>45389</v>
      </c>
      <c r="N66" s="4">
        <v>1399.98</v>
      </c>
    </row>
    <row r="67" spans="1:14" ht="15.75" customHeight="1" x14ac:dyDescent="0.3">
      <c r="A67" s="4" t="s">
        <v>190</v>
      </c>
      <c r="B67" s="5">
        <v>45481</v>
      </c>
      <c r="C67" s="4" t="s">
        <v>98</v>
      </c>
      <c r="D67" s="4" t="s">
        <v>99</v>
      </c>
      <c r="E67" s="4" t="s">
        <v>119</v>
      </c>
      <c r="F67" s="4" t="s">
        <v>120</v>
      </c>
      <c r="G67" s="4" t="s">
        <v>21</v>
      </c>
      <c r="H67" s="4">
        <v>5</v>
      </c>
      <c r="I67" s="4">
        <v>89.99</v>
      </c>
      <c r="J67" s="4" t="s">
        <v>59</v>
      </c>
      <c r="K67" s="4" t="s">
        <v>42</v>
      </c>
      <c r="L67" s="4" t="s">
        <v>29</v>
      </c>
      <c r="M67" s="5">
        <v>45161</v>
      </c>
      <c r="N67" s="4">
        <v>449.95</v>
      </c>
    </row>
    <row r="68" spans="1:14" ht="15.75" customHeight="1" x14ac:dyDescent="0.3">
      <c r="A68" s="4" t="s">
        <v>191</v>
      </c>
      <c r="B68" s="5">
        <v>45482</v>
      </c>
      <c r="C68" s="4" t="s">
        <v>173</v>
      </c>
      <c r="D68" s="4" t="s">
        <v>174</v>
      </c>
      <c r="E68" s="4" t="s">
        <v>33</v>
      </c>
      <c r="F68" s="4" t="s">
        <v>34</v>
      </c>
      <c r="G68" s="4" t="s">
        <v>35</v>
      </c>
      <c r="H68" s="4">
        <v>4</v>
      </c>
      <c r="I68" s="4">
        <v>59.99</v>
      </c>
      <c r="J68" s="4" t="s">
        <v>22</v>
      </c>
      <c r="K68" s="4" t="s">
        <v>37</v>
      </c>
      <c r="L68" s="4" t="s">
        <v>38</v>
      </c>
      <c r="M68" s="5">
        <v>44509</v>
      </c>
      <c r="N68" s="4">
        <v>239.96</v>
      </c>
    </row>
    <row r="69" spans="1:14" ht="15.75" customHeight="1" x14ac:dyDescent="0.3">
      <c r="A69" s="4" t="s">
        <v>192</v>
      </c>
      <c r="B69" s="5">
        <v>45484</v>
      </c>
      <c r="C69" s="4" t="s">
        <v>26</v>
      </c>
      <c r="D69" s="4" t="s">
        <v>27</v>
      </c>
      <c r="E69" s="4" t="s">
        <v>54</v>
      </c>
      <c r="F69" s="4" t="s">
        <v>55</v>
      </c>
      <c r="G69" s="4" t="s">
        <v>21</v>
      </c>
      <c r="H69" s="4">
        <v>1</v>
      </c>
      <c r="I69" s="4">
        <v>149.99</v>
      </c>
      <c r="J69" s="4" t="s">
        <v>22</v>
      </c>
      <c r="K69" s="4" t="s">
        <v>23</v>
      </c>
      <c r="L69" s="4" t="s">
        <v>38</v>
      </c>
      <c r="M69" s="5">
        <v>44909</v>
      </c>
      <c r="N69" s="4">
        <v>149.99</v>
      </c>
    </row>
    <row r="70" spans="1:14" ht="15.75" customHeight="1" x14ac:dyDescent="0.3">
      <c r="A70" s="4" t="s">
        <v>193</v>
      </c>
      <c r="B70" s="5">
        <v>45484</v>
      </c>
      <c r="C70" s="4" t="s">
        <v>194</v>
      </c>
      <c r="D70" s="4" t="s">
        <v>195</v>
      </c>
      <c r="E70" s="4" t="s">
        <v>107</v>
      </c>
      <c r="F70" s="4" t="s">
        <v>108</v>
      </c>
      <c r="G70" s="4" t="s">
        <v>48</v>
      </c>
      <c r="H70" s="4">
        <v>1</v>
      </c>
      <c r="I70" s="4">
        <v>299.99</v>
      </c>
      <c r="J70" s="4" t="s">
        <v>28</v>
      </c>
      <c r="K70" s="4" t="s">
        <v>42</v>
      </c>
      <c r="L70" s="4" t="s">
        <v>29</v>
      </c>
      <c r="M70" s="5">
        <v>44891</v>
      </c>
      <c r="N70" s="4">
        <v>299.99</v>
      </c>
    </row>
    <row r="71" spans="1:14" ht="15.75" customHeight="1" x14ac:dyDescent="0.3">
      <c r="A71" s="4" t="s">
        <v>196</v>
      </c>
      <c r="B71" s="5">
        <v>45487</v>
      </c>
      <c r="C71" s="4" t="s">
        <v>194</v>
      </c>
      <c r="D71" s="4" t="s">
        <v>195</v>
      </c>
      <c r="E71" s="4" t="s">
        <v>128</v>
      </c>
      <c r="F71" s="4" t="s">
        <v>129</v>
      </c>
      <c r="G71" s="4" t="s">
        <v>48</v>
      </c>
      <c r="H71" s="4">
        <v>2</v>
      </c>
      <c r="I71" s="4">
        <v>199.99</v>
      </c>
      <c r="J71" s="4" t="s">
        <v>22</v>
      </c>
      <c r="K71" s="4" t="s">
        <v>42</v>
      </c>
      <c r="L71" s="4" t="s">
        <v>24</v>
      </c>
      <c r="M71" s="5">
        <v>44541</v>
      </c>
      <c r="N71" s="4">
        <v>399.98</v>
      </c>
    </row>
    <row r="72" spans="1:14" ht="15.75" customHeight="1" x14ac:dyDescent="0.3">
      <c r="A72" s="4" t="s">
        <v>197</v>
      </c>
      <c r="B72" s="5">
        <v>45490</v>
      </c>
      <c r="C72" s="4" t="s">
        <v>198</v>
      </c>
      <c r="D72" s="4" t="s">
        <v>199</v>
      </c>
      <c r="E72" s="4" t="s">
        <v>33</v>
      </c>
      <c r="F72" s="4" t="s">
        <v>34</v>
      </c>
      <c r="G72" s="4" t="s">
        <v>35</v>
      </c>
      <c r="H72" s="4">
        <v>3</v>
      </c>
      <c r="I72" s="4">
        <v>59.99</v>
      </c>
      <c r="J72" s="4" t="s">
        <v>28</v>
      </c>
      <c r="K72" s="4" t="s">
        <v>52</v>
      </c>
      <c r="L72" s="4" t="s">
        <v>24</v>
      </c>
      <c r="M72" s="5">
        <v>45130</v>
      </c>
      <c r="N72" s="4">
        <v>179.97</v>
      </c>
    </row>
    <row r="73" spans="1:14" ht="15.75" customHeight="1" x14ac:dyDescent="0.3">
      <c r="A73" s="4" t="s">
        <v>200</v>
      </c>
      <c r="B73" s="5">
        <v>45490</v>
      </c>
      <c r="C73" s="4" t="s">
        <v>74</v>
      </c>
      <c r="D73" s="4" t="s">
        <v>75</v>
      </c>
      <c r="E73" s="4" t="s">
        <v>46</v>
      </c>
      <c r="F73" s="4" t="s">
        <v>47</v>
      </c>
      <c r="G73" s="4" t="s">
        <v>48</v>
      </c>
      <c r="H73" s="4">
        <v>3</v>
      </c>
      <c r="I73" s="4">
        <v>149.99</v>
      </c>
      <c r="J73" s="4" t="s">
        <v>22</v>
      </c>
      <c r="K73" s="4" t="s">
        <v>23</v>
      </c>
      <c r="L73" s="4" t="s">
        <v>29</v>
      </c>
      <c r="M73" s="5">
        <v>45199</v>
      </c>
      <c r="N73" s="4">
        <v>449.97</v>
      </c>
    </row>
    <row r="74" spans="1:14" ht="15.75" customHeight="1" x14ac:dyDescent="0.3">
      <c r="A74" s="4" t="s">
        <v>201</v>
      </c>
      <c r="B74" s="5">
        <v>45491</v>
      </c>
      <c r="C74" s="4" t="s">
        <v>67</v>
      </c>
      <c r="D74" s="4" t="s">
        <v>68</v>
      </c>
      <c r="E74" s="4" t="s">
        <v>128</v>
      </c>
      <c r="F74" s="4" t="s">
        <v>129</v>
      </c>
      <c r="G74" s="4" t="s">
        <v>48</v>
      </c>
      <c r="H74" s="4">
        <v>3</v>
      </c>
      <c r="I74" s="4">
        <v>199.99</v>
      </c>
      <c r="J74" s="4" t="s">
        <v>22</v>
      </c>
      <c r="K74" s="4" t="s">
        <v>42</v>
      </c>
      <c r="L74" s="4" t="s">
        <v>29</v>
      </c>
      <c r="M74" s="5">
        <v>45254</v>
      </c>
      <c r="N74" s="4">
        <v>599.97</v>
      </c>
    </row>
    <row r="75" spans="1:14" ht="15.75" customHeight="1" x14ac:dyDescent="0.3">
      <c r="A75" s="4" t="s">
        <v>202</v>
      </c>
      <c r="B75" s="5">
        <v>45496</v>
      </c>
      <c r="C75" s="4" t="s">
        <v>152</v>
      </c>
      <c r="D75" s="4" t="s">
        <v>153</v>
      </c>
      <c r="E75" s="4" t="s">
        <v>63</v>
      </c>
      <c r="F75" s="4" t="s">
        <v>64</v>
      </c>
      <c r="G75" s="4" t="s">
        <v>21</v>
      </c>
      <c r="H75" s="4">
        <v>1</v>
      </c>
      <c r="I75" s="4">
        <v>899.99</v>
      </c>
      <c r="J75" s="4" t="s">
        <v>22</v>
      </c>
      <c r="K75" s="4" t="s">
        <v>23</v>
      </c>
      <c r="L75" s="4" t="s">
        <v>38</v>
      </c>
      <c r="M75" s="5">
        <v>45179</v>
      </c>
      <c r="N75" s="4">
        <v>899.99</v>
      </c>
    </row>
    <row r="76" spans="1:14" ht="15.75" customHeight="1" x14ac:dyDescent="0.3">
      <c r="A76" s="4" t="s">
        <v>203</v>
      </c>
      <c r="B76" s="5">
        <v>45497</v>
      </c>
      <c r="C76" s="4" t="s">
        <v>26</v>
      </c>
      <c r="D76" s="4" t="s">
        <v>27</v>
      </c>
      <c r="E76" s="4" t="s">
        <v>63</v>
      </c>
      <c r="F76" s="4" t="s">
        <v>64</v>
      </c>
      <c r="G76" s="4" t="s">
        <v>21</v>
      </c>
      <c r="H76" s="4">
        <v>5</v>
      </c>
      <c r="I76" s="4">
        <v>899.99</v>
      </c>
      <c r="J76" s="4" t="s">
        <v>59</v>
      </c>
      <c r="K76" s="4" t="s">
        <v>37</v>
      </c>
      <c r="L76" s="4" t="s">
        <v>38</v>
      </c>
      <c r="M76" s="5">
        <v>44899</v>
      </c>
      <c r="N76" s="4">
        <v>4499.95</v>
      </c>
    </row>
    <row r="77" spans="1:14" ht="15.75" customHeight="1" x14ac:dyDescent="0.3">
      <c r="A77" s="4" t="s">
        <v>204</v>
      </c>
      <c r="B77" s="5">
        <v>45498</v>
      </c>
      <c r="C77" s="4" t="s">
        <v>184</v>
      </c>
      <c r="D77" s="4" t="s">
        <v>185</v>
      </c>
      <c r="E77" s="4" t="s">
        <v>33</v>
      </c>
      <c r="F77" s="4" t="s">
        <v>34</v>
      </c>
      <c r="G77" s="4" t="s">
        <v>35</v>
      </c>
      <c r="H77" s="4">
        <v>2</v>
      </c>
      <c r="I77" s="4">
        <v>59.99</v>
      </c>
      <c r="J77" s="4" t="s">
        <v>22</v>
      </c>
      <c r="K77" s="4" t="s">
        <v>42</v>
      </c>
      <c r="L77" s="4" t="s">
        <v>38</v>
      </c>
      <c r="M77" s="5">
        <v>45152</v>
      </c>
      <c r="N77" s="4">
        <v>119.98</v>
      </c>
    </row>
    <row r="78" spans="1:14" ht="15.75" customHeight="1" x14ac:dyDescent="0.3">
      <c r="A78" s="4" t="s">
        <v>205</v>
      </c>
      <c r="B78" s="5">
        <v>45498</v>
      </c>
      <c r="C78" s="4" t="s">
        <v>198</v>
      </c>
      <c r="D78" s="4" t="s">
        <v>199</v>
      </c>
      <c r="E78" s="4" t="s">
        <v>19</v>
      </c>
      <c r="F78" s="4" t="s">
        <v>20</v>
      </c>
      <c r="G78" s="4" t="s">
        <v>21</v>
      </c>
      <c r="H78" s="4">
        <v>4</v>
      </c>
      <c r="I78" s="4">
        <v>249.99</v>
      </c>
      <c r="J78" s="4" t="s">
        <v>59</v>
      </c>
      <c r="K78" s="4" t="s">
        <v>23</v>
      </c>
      <c r="L78" s="4" t="s">
        <v>38</v>
      </c>
      <c r="M78" s="5">
        <v>45127</v>
      </c>
      <c r="N78" s="4">
        <v>999.96</v>
      </c>
    </row>
    <row r="79" spans="1:14" ht="15.75" customHeight="1" x14ac:dyDescent="0.3">
      <c r="A79" s="4" t="s">
        <v>206</v>
      </c>
      <c r="B79" s="5">
        <v>45500</v>
      </c>
      <c r="C79" s="4" t="s">
        <v>98</v>
      </c>
      <c r="D79" s="4" t="s">
        <v>99</v>
      </c>
      <c r="E79" s="4" t="s">
        <v>19</v>
      </c>
      <c r="F79" s="4" t="s">
        <v>20</v>
      </c>
      <c r="G79" s="4" t="s">
        <v>21</v>
      </c>
      <c r="H79" s="4">
        <v>2</v>
      </c>
      <c r="I79" s="4">
        <v>249.99</v>
      </c>
      <c r="J79" s="4" t="s">
        <v>22</v>
      </c>
      <c r="K79" s="4" t="s">
        <v>42</v>
      </c>
      <c r="L79" s="4" t="s">
        <v>29</v>
      </c>
      <c r="M79" s="5">
        <v>45164</v>
      </c>
      <c r="N79" s="4">
        <v>499.98</v>
      </c>
    </row>
    <row r="80" spans="1:14" ht="15.75" customHeight="1" x14ac:dyDescent="0.3">
      <c r="A80" s="4" t="s">
        <v>207</v>
      </c>
      <c r="B80" s="5">
        <v>45500</v>
      </c>
      <c r="C80" s="4" t="s">
        <v>149</v>
      </c>
      <c r="D80" s="4" t="s">
        <v>150</v>
      </c>
      <c r="E80" s="4" t="s">
        <v>107</v>
      </c>
      <c r="F80" s="4" t="s">
        <v>108</v>
      </c>
      <c r="G80" s="4" t="s">
        <v>48</v>
      </c>
      <c r="H80" s="4">
        <v>1</v>
      </c>
      <c r="I80" s="4">
        <v>299.99</v>
      </c>
      <c r="J80" s="4" t="s">
        <v>22</v>
      </c>
      <c r="K80" s="4" t="s">
        <v>37</v>
      </c>
      <c r="L80" s="4" t="s">
        <v>24</v>
      </c>
      <c r="M80" s="5">
        <v>44982</v>
      </c>
      <c r="N80" s="4">
        <v>299.99</v>
      </c>
    </row>
    <row r="81" spans="1:14" ht="15.75" customHeight="1" x14ac:dyDescent="0.3">
      <c r="A81" s="4" t="s">
        <v>208</v>
      </c>
      <c r="B81" s="5">
        <v>45501</v>
      </c>
      <c r="C81" s="4" t="s">
        <v>88</v>
      </c>
      <c r="D81" s="4" t="s">
        <v>89</v>
      </c>
      <c r="E81" s="4" t="s">
        <v>119</v>
      </c>
      <c r="F81" s="4" t="s">
        <v>120</v>
      </c>
      <c r="G81" s="4" t="s">
        <v>21</v>
      </c>
      <c r="H81" s="4">
        <v>2</v>
      </c>
      <c r="I81" s="4">
        <v>89.99</v>
      </c>
      <c r="J81" s="4" t="s">
        <v>36</v>
      </c>
      <c r="K81" s="4" t="s">
        <v>37</v>
      </c>
      <c r="L81" s="4" t="s">
        <v>24</v>
      </c>
      <c r="M81" s="5">
        <v>44976</v>
      </c>
      <c r="N81" s="4">
        <v>179.98</v>
      </c>
    </row>
    <row r="82" spans="1:14" ht="15.75" customHeight="1" x14ac:dyDescent="0.3">
      <c r="A82" s="4" t="s">
        <v>209</v>
      </c>
      <c r="B82" s="5">
        <v>45501</v>
      </c>
      <c r="C82" s="4" t="s">
        <v>149</v>
      </c>
      <c r="D82" s="4" t="s">
        <v>150</v>
      </c>
      <c r="E82" s="4" t="s">
        <v>107</v>
      </c>
      <c r="F82" s="4" t="s">
        <v>108</v>
      </c>
      <c r="G82" s="4" t="s">
        <v>48</v>
      </c>
      <c r="H82" s="4">
        <v>3</v>
      </c>
      <c r="I82" s="4">
        <v>299.99</v>
      </c>
      <c r="J82" s="4" t="s">
        <v>22</v>
      </c>
      <c r="K82" s="4" t="s">
        <v>23</v>
      </c>
      <c r="L82" s="4" t="s">
        <v>24</v>
      </c>
      <c r="M82" s="5">
        <v>44732</v>
      </c>
      <c r="N82" s="4">
        <v>899.97</v>
      </c>
    </row>
    <row r="83" spans="1:14" ht="15.75" customHeight="1" x14ac:dyDescent="0.3">
      <c r="A83" s="4" t="s">
        <v>210</v>
      </c>
      <c r="B83" s="5">
        <v>45503</v>
      </c>
      <c r="C83" s="4" t="s">
        <v>88</v>
      </c>
      <c r="D83" s="4" t="s">
        <v>89</v>
      </c>
      <c r="E83" s="4" t="s">
        <v>82</v>
      </c>
      <c r="F83" s="4" t="s">
        <v>83</v>
      </c>
      <c r="G83" s="4" t="s">
        <v>21</v>
      </c>
      <c r="H83" s="4">
        <v>2</v>
      </c>
      <c r="I83" s="4">
        <v>699.99</v>
      </c>
      <c r="J83" s="4" t="s">
        <v>28</v>
      </c>
      <c r="K83" s="4" t="s">
        <v>42</v>
      </c>
      <c r="L83" s="4" t="s">
        <v>29</v>
      </c>
      <c r="M83" s="5">
        <v>44999</v>
      </c>
      <c r="N83" s="4">
        <v>1399.98</v>
      </c>
    </row>
    <row r="84" spans="1:14" ht="15.75" customHeight="1" x14ac:dyDescent="0.3">
      <c r="A84" s="4" t="s">
        <v>211</v>
      </c>
      <c r="B84" s="5">
        <v>45504</v>
      </c>
      <c r="C84" s="4" t="s">
        <v>122</v>
      </c>
      <c r="D84" s="4" t="s">
        <v>123</v>
      </c>
      <c r="E84" s="4" t="s">
        <v>63</v>
      </c>
      <c r="F84" s="4" t="s">
        <v>64</v>
      </c>
      <c r="G84" s="4" t="s">
        <v>21</v>
      </c>
      <c r="H84" s="4">
        <v>4</v>
      </c>
      <c r="I84" s="4">
        <v>899.99</v>
      </c>
      <c r="J84" s="4" t="s">
        <v>59</v>
      </c>
      <c r="K84" s="4" t="s">
        <v>37</v>
      </c>
      <c r="L84" s="4" t="s">
        <v>38</v>
      </c>
      <c r="M84" s="5">
        <v>44523</v>
      </c>
      <c r="N84" s="4">
        <v>3599.96</v>
      </c>
    </row>
    <row r="85" spans="1:14" ht="15.75" customHeight="1" x14ac:dyDescent="0.3">
      <c r="A85" s="4" t="s">
        <v>212</v>
      </c>
      <c r="B85" s="5">
        <v>45509</v>
      </c>
      <c r="C85" s="4" t="s">
        <v>213</v>
      </c>
      <c r="D85" s="4" t="s">
        <v>214</v>
      </c>
      <c r="E85" s="4" t="s">
        <v>46</v>
      </c>
      <c r="F85" s="4" t="s">
        <v>47</v>
      </c>
      <c r="G85" s="4" t="s">
        <v>48</v>
      </c>
      <c r="H85" s="4">
        <v>2</v>
      </c>
      <c r="I85" s="4">
        <v>149.99</v>
      </c>
      <c r="J85" s="4" t="s">
        <v>28</v>
      </c>
      <c r="K85" s="4" t="s">
        <v>52</v>
      </c>
      <c r="L85" s="4" t="s">
        <v>24</v>
      </c>
      <c r="M85" s="5">
        <v>44542</v>
      </c>
      <c r="N85" s="4">
        <v>299.98</v>
      </c>
    </row>
    <row r="86" spans="1:14" ht="15.75" customHeight="1" x14ac:dyDescent="0.3">
      <c r="A86" s="4" t="s">
        <v>215</v>
      </c>
      <c r="B86" s="5">
        <v>45510</v>
      </c>
      <c r="C86" s="4" t="s">
        <v>104</v>
      </c>
      <c r="D86" s="4" t="s">
        <v>105</v>
      </c>
      <c r="E86" s="4" t="s">
        <v>46</v>
      </c>
      <c r="F86" s="4" t="s">
        <v>47</v>
      </c>
      <c r="G86" s="4" t="s">
        <v>48</v>
      </c>
      <c r="H86" s="4">
        <v>2</v>
      </c>
      <c r="I86" s="4">
        <v>149.99</v>
      </c>
      <c r="J86" s="4" t="s">
        <v>59</v>
      </c>
      <c r="K86" s="4" t="s">
        <v>65</v>
      </c>
      <c r="L86" s="4" t="s">
        <v>38</v>
      </c>
      <c r="M86" s="5">
        <v>44667</v>
      </c>
      <c r="N86" s="4">
        <v>299.98</v>
      </c>
    </row>
    <row r="87" spans="1:14" ht="15.75" customHeight="1" x14ac:dyDescent="0.3">
      <c r="A87" s="4" t="s">
        <v>216</v>
      </c>
      <c r="B87" s="5">
        <v>45513</v>
      </c>
      <c r="C87" s="4" t="s">
        <v>91</v>
      </c>
      <c r="D87" s="4" t="s">
        <v>92</v>
      </c>
      <c r="E87" s="4" t="s">
        <v>119</v>
      </c>
      <c r="F87" s="4" t="s">
        <v>120</v>
      </c>
      <c r="G87" s="4" t="s">
        <v>21</v>
      </c>
      <c r="H87" s="4">
        <v>1</v>
      </c>
      <c r="I87" s="4">
        <v>89.99</v>
      </c>
      <c r="J87" s="4" t="s">
        <v>28</v>
      </c>
      <c r="K87" s="4" t="s">
        <v>42</v>
      </c>
      <c r="L87" s="4" t="s">
        <v>38</v>
      </c>
      <c r="M87" s="5">
        <v>45393</v>
      </c>
      <c r="N87" s="4">
        <v>89.99</v>
      </c>
    </row>
    <row r="88" spans="1:14" ht="15.75" customHeight="1" x14ac:dyDescent="0.3">
      <c r="A88" s="4" t="s">
        <v>217</v>
      </c>
      <c r="B88" s="5">
        <v>45515</v>
      </c>
      <c r="C88" s="4" t="s">
        <v>88</v>
      </c>
      <c r="D88" s="4" t="s">
        <v>89</v>
      </c>
      <c r="E88" s="4" t="s">
        <v>107</v>
      </c>
      <c r="F88" s="4" t="s">
        <v>108</v>
      </c>
      <c r="G88" s="4" t="s">
        <v>48</v>
      </c>
      <c r="H88" s="4">
        <v>5</v>
      </c>
      <c r="I88" s="4">
        <v>299.99</v>
      </c>
      <c r="J88" s="4" t="s">
        <v>28</v>
      </c>
      <c r="K88" s="4" t="s">
        <v>42</v>
      </c>
      <c r="L88" s="4" t="s">
        <v>24</v>
      </c>
      <c r="M88" s="5">
        <v>44965</v>
      </c>
      <c r="N88" s="4">
        <v>1499.95</v>
      </c>
    </row>
    <row r="89" spans="1:14" ht="15.75" customHeight="1" x14ac:dyDescent="0.3">
      <c r="A89" s="4" t="s">
        <v>218</v>
      </c>
      <c r="B89" s="5">
        <v>45517</v>
      </c>
      <c r="C89" s="4" t="s">
        <v>184</v>
      </c>
      <c r="D89" s="4" t="s">
        <v>185</v>
      </c>
      <c r="E89" s="4" t="s">
        <v>54</v>
      </c>
      <c r="F89" s="4" t="s">
        <v>55</v>
      </c>
      <c r="G89" s="4" t="s">
        <v>21</v>
      </c>
      <c r="H89" s="4">
        <v>4</v>
      </c>
      <c r="I89" s="4">
        <v>149.99</v>
      </c>
      <c r="J89" s="4" t="s">
        <v>59</v>
      </c>
      <c r="K89" s="4" t="s">
        <v>37</v>
      </c>
      <c r="L89" s="4" t="s">
        <v>29</v>
      </c>
      <c r="M89" s="5">
        <v>44820</v>
      </c>
      <c r="N89" s="4">
        <v>599.96</v>
      </c>
    </row>
    <row r="90" spans="1:14" ht="15.75" customHeight="1" x14ac:dyDescent="0.3">
      <c r="A90" s="4" t="s">
        <v>219</v>
      </c>
      <c r="B90" s="5">
        <v>45517</v>
      </c>
      <c r="C90" s="4" t="s">
        <v>187</v>
      </c>
      <c r="D90" s="4" t="s">
        <v>188</v>
      </c>
      <c r="E90" s="4" t="s">
        <v>19</v>
      </c>
      <c r="F90" s="4" t="s">
        <v>20</v>
      </c>
      <c r="G90" s="4" t="s">
        <v>21</v>
      </c>
      <c r="H90" s="4">
        <v>5</v>
      </c>
      <c r="I90" s="4">
        <v>249.99</v>
      </c>
      <c r="J90" s="4" t="s">
        <v>36</v>
      </c>
      <c r="K90" s="4" t="s">
        <v>65</v>
      </c>
      <c r="L90" s="4" t="s">
        <v>29</v>
      </c>
      <c r="M90" s="5">
        <v>44782</v>
      </c>
      <c r="N90" s="4">
        <v>1249.95</v>
      </c>
    </row>
    <row r="91" spans="1:14" ht="15.75" customHeight="1" x14ac:dyDescent="0.3">
      <c r="A91" s="4" t="s">
        <v>220</v>
      </c>
      <c r="B91" s="5">
        <v>45517</v>
      </c>
      <c r="C91" s="4" t="s">
        <v>67</v>
      </c>
      <c r="D91" s="4" t="s">
        <v>68</v>
      </c>
      <c r="E91" s="4" t="s">
        <v>19</v>
      </c>
      <c r="F91" s="4" t="s">
        <v>20</v>
      </c>
      <c r="G91" s="4" t="s">
        <v>21</v>
      </c>
      <c r="H91" s="4">
        <v>3</v>
      </c>
      <c r="I91" s="4">
        <v>249.99</v>
      </c>
      <c r="J91" s="4" t="s">
        <v>36</v>
      </c>
      <c r="K91" s="4" t="s">
        <v>42</v>
      </c>
      <c r="L91" s="4" t="s">
        <v>29</v>
      </c>
      <c r="M91" s="5">
        <v>44465</v>
      </c>
      <c r="N91" s="4">
        <v>749.97</v>
      </c>
    </row>
    <row r="92" spans="1:14" ht="15.75" customHeight="1" x14ac:dyDescent="0.3">
      <c r="A92" s="4" t="s">
        <v>221</v>
      </c>
      <c r="B92" s="5">
        <v>45517</v>
      </c>
      <c r="C92" s="4" t="s">
        <v>40</v>
      </c>
      <c r="D92" s="4" t="s">
        <v>41</v>
      </c>
      <c r="E92" s="4" t="s">
        <v>128</v>
      </c>
      <c r="F92" s="4" t="s">
        <v>129</v>
      </c>
      <c r="G92" s="4" t="s">
        <v>48</v>
      </c>
      <c r="H92" s="4">
        <v>4</v>
      </c>
      <c r="I92" s="4">
        <v>199.99</v>
      </c>
      <c r="J92" s="4" t="s">
        <v>22</v>
      </c>
      <c r="K92" s="4" t="s">
        <v>42</v>
      </c>
      <c r="L92" s="4" t="s">
        <v>38</v>
      </c>
      <c r="M92" s="5">
        <v>44458</v>
      </c>
      <c r="N92" s="4">
        <v>799.96</v>
      </c>
    </row>
    <row r="93" spans="1:14" ht="15.75" customHeight="1" x14ac:dyDescent="0.3">
      <c r="A93" s="4" t="s">
        <v>222</v>
      </c>
      <c r="B93" s="5">
        <v>45519</v>
      </c>
      <c r="C93" s="4" t="s">
        <v>160</v>
      </c>
      <c r="D93" s="4" t="s">
        <v>161</v>
      </c>
      <c r="E93" s="4" t="s">
        <v>128</v>
      </c>
      <c r="F93" s="4" t="s">
        <v>129</v>
      </c>
      <c r="G93" s="4" t="s">
        <v>48</v>
      </c>
      <c r="H93" s="4">
        <v>5</v>
      </c>
      <c r="I93" s="4">
        <v>199.99</v>
      </c>
      <c r="J93" s="4" t="s">
        <v>22</v>
      </c>
      <c r="K93" s="4" t="s">
        <v>42</v>
      </c>
      <c r="L93" s="4" t="s">
        <v>29</v>
      </c>
      <c r="M93" s="5">
        <v>44991</v>
      </c>
      <c r="N93" s="4">
        <v>999.95</v>
      </c>
    </row>
    <row r="94" spans="1:14" ht="15.75" customHeight="1" x14ac:dyDescent="0.3">
      <c r="A94" s="4" t="s">
        <v>223</v>
      </c>
      <c r="B94" s="5">
        <v>45522</v>
      </c>
      <c r="C94" s="4" t="s">
        <v>88</v>
      </c>
      <c r="D94" s="4" t="s">
        <v>89</v>
      </c>
      <c r="E94" s="4" t="s">
        <v>119</v>
      </c>
      <c r="F94" s="4" t="s">
        <v>120</v>
      </c>
      <c r="G94" s="4" t="s">
        <v>21</v>
      </c>
      <c r="H94" s="4">
        <v>2</v>
      </c>
      <c r="I94" s="4">
        <v>89.99</v>
      </c>
      <c r="J94" s="4" t="s">
        <v>22</v>
      </c>
      <c r="K94" s="4" t="s">
        <v>65</v>
      </c>
      <c r="L94" s="4" t="s">
        <v>29</v>
      </c>
      <c r="M94" s="5">
        <v>44972</v>
      </c>
      <c r="N94" s="4">
        <v>179.98</v>
      </c>
    </row>
    <row r="95" spans="1:14" ht="15.75" customHeight="1" x14ac:dyDescent="0.3">
      <c r="A95" s="4" t="s">
        <v>224</v>
      </c>
      <c r="B95" s="5">
        <v>45523</v>
      </c>
      <c r="C95" s="4" t="s">
        <v>198</v>
      </c>
      <c r="D95" s="4" t="s">
        <v>199</v>
      </c>
      <c r="E95" s="4" t="s">
        <v>63</v>
      </c>
      <c r="F95" s="4" t="s">
        <v>64</v>
      </c>
      <c r="G95" s="4" t="s">
        <v>21</v>
      </c>
      <c r="H95" s="4">
        <v>5</v>
      </c>
      <c r="I95" s="4">
        <v>899.99</v>
      </c>
      <c r="J95" s="4" t="s">
        <v>59</v>
      </c>
      <c r="K95" s="4" t="s">
        <v>65</v>
      </c>
      <c r="L95" s="4" t="s">
        <v>24</v>
      </c>
      <c r="M95" s="5">
        <v>44526</v>
      </c>
      <c r="N95" s="4">
        <v>4499.95</v>
      </c>
    </row>
    <row r="96" spans="1:14" ht="15.75" customHeight="1" x14ac:dyDescent="0.3">
      <c r="A96" s="4" t="s">
        <v>225</v>
      </c>
      <c r="B96" s="5">
        <v>45523</v>
      </c>
      <c r="C96" s="4" t="s">
        <v>110</v>
      </c>
      <c r="D96" s="4" t="s">
        <v>111</v>
      </c>
      <c r="E96" s="4" t="s">
        <v>54</v>
      </c>
      <c r="F96" s="4" t="s">
        <v>55</v>
      </c>
      <c r="G96" s="4" t="s">
        <v>21</v>
      </c>
      <c r="H96" s="4">
        <v>3</v>
      </c>
      <c r="I96" s="4">
        <v>149.99</v>
      </c>
      <c r="J96" s="4" t="s">
        <v>36</v>
      </c>
      <c r="K96" s="4" t="s">
        <v>65</v>
      </c>
      <c r="L96" s="4" t="s">
        <v>24</v>
      </c>
      <c r="M96" s="5">
        <v>44574</v>
      </c>
      <c r="N96" s="4">
        <v>449.97</v>
      </c>
    </row>
    <row r="97" spans="1:14" ht="15.75" customHeight="1" x14ac:dyDescent="0.3">
      <c r="A97" s="4" t="s">
        <v>226</v>
      </c>
      <c r="B97" s="5">
        <v>45526</v>
      </c>
      <c r="C97" s="4" t="s">
        <v>104</v>
      </c>
      <c r="D97" s="4" t="s">
        <v>105</v>
      </c>
      <c r="E97" s="4" t="s">
        <v>46</v>
      </c>
      <c r="F97" s="4" t="s">
        <v>47</v>
      </c>
      <c r="G97" s="4" t="s">
        <v>48</v>
      </c>
      <c r="H97" s="4">
        <v>5</v>
      </c>
      <c r="I97" s="4">
        <v>149.99</v>
      </c>
      <c r="J97" s="4" t="s">
        <v>28</v>
      </c>
      <c r="K97" s="4" t="s">
        <v>23</v>
      </c>
      <c r="L97" s="4" t="s">
        <v>24</v>
      </c>
      <c r="M97" s="5">
        <v>45310</v>
      </c>
      <c r="N97" s="4">
        <v>749.95</v>
      </c>
    </row>
    <row r="98" spans="1:14" ht="15.75" customHeight="1" x14ac:dyDescent="0.3">
      <c r="A98" s="4" t="s">
        <v>227</v>
      </c>
      <c r="B98" s="5">
        <v>45528</v>
      </c>
      <c r="C98" s="4" t="s">
        <v>228</v>
      </c>
      <c r="D98" s="4" t="s">
        <v>229</v>
      </c>
      <c r="E98" s="4" t="s">
        <v>116</v>
      </c>
      <c r="F98" s="4" t="s">
        <v>117</v>
      </c>
      <c r="G98" s="4" t="s">
        <v>35</v>
      </c>
      <c r="H98" s="4">
        <v>3</v>
      </c>
      <c r="I98" s="4">
        <v>79.989999999999995</v>
      </c>
      <c r="J98" s="4" t="s">
        <v>22</v>
      </c>
      <c r="K98" s="4" t="s">
        <v>23</v>
      </c>
      <c r="L98" s="4" t="s">
        <v>29</v>
      </c>
      <c r="M98" s="5">
        <v>44779</v>
      </c>
      <c r="N98" s="4">
        <v>239.97</v>
      </c>
    </row>
    <row r="99" spans="1:14" ht="15.75" customHeight="1" x14ac:dyDescent="0.3">
      <c r="A99" s="4" t="s">
        <v>230</v>
      </c>
      <c r="B99" s="5">
        <v>45528</v>
      </c>
      <c r="C99" s="4" t="s">
        <v>146</v>
      </c>
      <c r="D99" s="4" t="s">
        <v>147</v>
      </c>
      <c r="E99" s="4" t="s">
        <v>19</v>
      </c>
      <c r="F99" s="4" t="s">
        <v>20</v>
      </c>
      <c r="G99" s="4" t="s">
        <v>21</v>
      </c>
      <c r="H99" s="4">
        <v>2</v>
      </c>
      <c r="I99" s="4">
        <v>249.99</v>
      </c>
      <c r="J99" s="4" t="s">
        <v>22</v>
      </c>
      <c r="K99" s="4" t="s">
        <v>37</v>
      </c>
      <c r="L99" s="4" t="s">
        <v>38</v>
      </c>
      <c r="M99" s="5">
        <v>44572</v>
      </c>
      <c r="N99" s="4">
        <v>499.98</v>
      </c>
    </row>
    <row r="100" spans="1:14" ht="15.75" customHeight="1" x14ac:dyDescent="0.3">
      <c r="A100" s="4" t="s">
        <v>231</v>
      </c>
      <c r="B100" s="5">
        <v>45532</v>
      </c>
      <c r="C100" s="4" t="s">
        <v>198</v>
      </c>
      <c r="D100" s="4" t="s">
        <v>199</v>
      </c>
      <c r="E100" s="4" t="s">
        <v>82</v>
      </c>
      <c r="F100" s="4" t="s">
        <v>83</v>
      </c>
      <c r="G100" s="4" t="s">
        <v>21</v>
      </c>
      <c r="H100" s="4">
        <v>1</v>
      </c>
      <c r="I100" s="4">
        <v>699.99</v>
      </c>
      <c r="J100" s="4" t="s">
        <v>22</v>
      </c>
      <c r="K100" s="4" t="s">
        <v>23</v>
      </c>
      <c r="L100" s="4" t="s">
        <v>29</v>
      </c>
      <c r="M100" s="5">
        <v>44497</v>
      </c>
      <c r="N100" s="4">
        <v>699.99</v>
      </c>
    </row>
    <row r="101" spans="1:14" ht="15.75" customHeight="1" x14ac:dyDescent="0.3">
      <c r="A101" s="4" t="s">
        <v>232</v>
      </c>
      <c r="B101" s="5">
        <v>45532</v>
      </c>
      <c r="C101" s="4" t="s">
        <v>233</v>
      </c>
      <c r="D101" s="4" t="s">
        <v>234</v>
      </c>
      <c r="E101" s="4" t="s">
        <v>54</v>
      </c>
      <c r="F101" s="4" t="s">
        <v>55</v>
      </c>
      <c r="G101" s="4" t="s">
        <v>21</v>
      </c>
      <c r="H101" s="4">
        <v>3</v>
      </c>
      <c r="I101" s="4">
        <v>149.99</v>
      </c>
      <c r="J101" s="4" t="s">
        <v>22</v>
      </c>
      <c r="K101" s="4" t="s">
        <v>52</v>
      </c>
      <c r="L101" s="4" t="s">
        <v>29</v>
      </c>
      <c r="M101" s="5">
        <v>45212</v>
      </c>
      <c r="N101" s="4">
        <v>449.97</v>
      </c>
    </row>
    <row r="102" spans="1:14" ht="15.75" customHeight="1" x14ac:dyDescent="0.3">
      <c r="A102" s="4" t="s">
        <v>235</v>
      </c>
      <c r="B102" s="5">
        <v>45534</v>
      </c>
      <c r="C102" s="4" t="s">
        <v>236</v>
      </c>
      <c r="D102" s="4" t="s">
        <v>237</v>
      </c>
      <c r="E102" s="4" t="s">
        <v>82</v>
      </c>
      <c r="F102" s="4" t="s">
        <v>83</v>
      </c>
      <c r="G102" s="4" t="s">
        <v>21</v>
      </c>
      <c r="H102" s="4">
        <v>2</v>
      </c>
      <c r="I102" s="4">
        <v>699.99</v>
      </c>
      <c r="J102" s="4" t="s">
        <v>28</v>
      </c>
      <c r="K102" s="4" t="s">
        <v>42</v>
      </c>
      <c r="L102" s="4" t="s">
        <v>29</v>
      </c>
      <c r="M102" s="5">
        <v>44421</v>
      </c>
      <c r="N102" s="4">
        <v>1399.98</v>
      </c>
    </row>
    <row r="103" spans="1:14" ht="15.75" customHeight="1" x14ac:dyDescent="0.3">
      <c r="A103" s="4" t="s">
        <v>238</v>
      </c>
      <c r="B103" s="5">
        <v>45537</v>
      </c>
      <c r="C103" s="4" t="s">
        <v>233</v>
      </c>
      <c r="D103" s="4" t="s">
        <v>234</v>
      </c>
      <c r="E103" s="4" t="s">
        <v>19</v>
      </c>
      <c r="F103" s="4" t="s">
        <v>20</v>
      </c>
      <c r="G103" s="4" t="s">
        <v>21</v>
      </c>
      <c r="H103" s="4">
        <v>1</v>
      </c>
      <c r="I103" s="4">
        <v>249.99</v>
      </c>
      <c r="J103" s="4" t="s">
        <v>28</v>
      </c>
      <c r="K103" s="4" t="s">
        <v>52</v>
      </c>
      <c r="L103" s="4" t="s">
        <v>29</v>
      </c>
      <c r="M103" s="5">
        <v>44685</v>
      </c>
      <c r="N103" s="4">
        <v>249.99</v>
      </c>
    </row>
    <row r="104" spans="1:14" ht="15.75" customHeight="1" x14ac:dyDescent="0.3">
      <c r="A104" s="4" t="s">
        <v>239</v>
      </c>
      <c r="B104" s="5">
        <v>45537</v>
      </c>
      <c r="C104" s="4" t="s">
        <v>17</v>
      </c>
      <c r="D104" s="4" t="s">
        <v>18</v>
      </c>
      <c r="E104" s="4" t="s">
        <v>19</v>
      </c>
      <c r="F104" s="4" t="s">
        <v>20</v>
      </c>
      <c r="G104" s="4" t="s">
        <v>21</v>
      </c>
      <c r="H104" s="4">
        <v>1</v>
      </c>
      <c r="I104" s="4">
        <v>249.99</v>
      </c>
      <c r="J104" s="4" t="s">
        <v>59</v>
      </c>
      <c r="K104" s="4" t="s">
        <v>42</v>
      </c>
      <c r="L104" s="4" t="s">
        <v>29</v>
      </c>
      <c r="M104" s="5">
        <v>45332</v>
      </c>
      <c r="N104" s="4">
        <v>249.99</v>
      </c>
    </row>
    <row r="105" spans="1:14" ht="15.75" customHeight="1" x14ac:dyDescent="0.3">
      <c r="A105" s="4" t="s">
        <v>240</v>
      </c>
      <c r="B105" s="5">
        <v>45538</v>
      </c>
      <c r="C105" s="4" t="s">
        <v>228</v>
      </c>
      <c r="D105" s="4" t="s">
        <v>229</v>
      </c>
      <c r="E105" s="4" t="s">
        <v>82</v>
      </c>
      <c r="F105" s="4" t="s">
        <v>83</v>
      </c>
      <c r="G105" s="4" t="s">
        <v>21</v>
      </c>
      <c r="H105" s="4">
        <v>2</v>
      </c>
      <c r="I105" s="4">
        <v>699.99</v>
      </c>
      <c r="J105" s="4" t="s">
        <v>59</v>
      </c>
      <c r="K105" s="4" t="s">
        <v>23</v>
      </c>
      <c r="L105" s="4" t="s">
        <v>29</v>
      </c>
      <c r="M105" s="5">
        <v>44870</v>
      </c>
      <c r="N105" s="4">
        <v>1399.98</v>
      </c>
    </row>
    <row r="106" spans="1:14" ht="15.75" customHeight="1" x14ac:dyDescent="0.3">
      <c r="A106" s="4" t="s">
        <v>241</v>
      </c>
      <c r="B106" s="5">
        <v>45541</v>
      </c>
      <c r="C106" s="4" t="s">
        <v>140</v>
      </c>
      <c r="D106" s="4" t="s">
        <v>141</v>
      </c>
      <c r="E106" s="4" t="s">
        <v>33</v>
      </c>
      <c r="F106" s="4" t="s">
        <v>34</v>
      </c>
      <c r="G106" s="4" t="s">
        <v>35</v>
      </c>
      <c r="H106" s="4">
        <v>3</v>
      </c>
      <c r="I106" s="4">
        <v>59.99</v>
      </c>
      <c r="J106" s="4" t="s">
        <v>28</v>
      </c>
      <c r="K106" s="4" t="s">
        <v>23</v>
      </c>
      <c r="L106" s="4" t="s">
        <v>29</v>
      </c>
      <c r="M106" s="5">
        <v>44717</v>
      </c>
      <c r="N106" s="4">
        <v>179.97</v>
      </c>
    </row>
    <row r="107" spans="1:14" ht="15.75" customHeight="1" x14ac:dyDescent="0.3">
      <c r="A107" s="4" t="s">
        <v>242</v>
      </c>
      <c r="B107" s="5">
        <v>45544</v>
      </c>
      <c r="C107" s="4" t="s">
        <v>134</v>
      </c>
      <c r="D107" s="4" t="s">
        <v>135</v>
      </c>
      <c r="E107" s="4" t="s">
        <v>33</v>
      </c>
      <c r="F107" s="4" t="s">
        <v>34</v>
      </c>
      <c r="G107" s="4" t="s">
        <v>35</v>
      </c>
      <c r="H107" s="4">
        <v>3</v>
      </c>
      <c r="I107" s="4">
        <v>59.99</v>
      </c>
      <c r="J107" s="4" t="s">
        <v>36</v>
      </c>
      <c r="K107" s="4" t="s">
        <v>65</v>
      </c>
      <c r="L107" s="4" t="s">
        <v>38</v>
      </c>
      <c r="M107" s="5">
        <v>44748</v>
      </c>
      <c r="N107" s="4">
        <v>179.97</v>
      </c>
    </row>
    <row r="108" spans="1:14" ht="15.75" customHeight="1" x14ac:dyDescent="0.3">
      <c r="A108" s="4" t="s">
        <v>243</v>
      </c>
      <c r="B108" s="5">
        <v>45544</v>
      </c>
      <c r="C108" s="4" t="s">
        <v>143</v>
      </c>
      <c r="D108" s="4" t="s">
        <v>144</v>
      </c>
      <c r="E108" s="4" t="s">
        <v>116</v>
      </c>
      <c r="F108" s="4" t="s">
        <v>117</v>
      </c>
      <c r="G108" s="4" t="s">
        <v>35</v>
      </c>
      <c r="H108" s="4">
        <v>4</v>
      </c>
      <c r="I108" s="4">
        <v>79.989999999999995</v>
      </c>
      <c r="J108" s="4" t="s">
        <v>22</v>
      </c>
      <c r="K108" s="4" t="s">
        <v>42</v>
      </c>
      <c r="L108" s="4" t="s">
        <v>24</v>
      </c>
      <c r="M108" s="5">
        <v>44530</v>
      </c>
      <c r="N108" s="4">
        <v>319.95999999999998</v>
      </c>
    </row>
    <row r="109" spans="1:14" ht="15.75" customHeight="1" x14ac:dyDescent="0.3">
      <c r="A109" s="4" t="s">
        <v>244</v>
      </c>
      <c r="B109" s="5">
        <v>45545</v>
      </c>
      <c r="C109" s="4" t="s">
        <v>57</v>
      </c>
      <c r="D109" s="4" t="s">
        <v>58</v>
      </c>
      <c r="E109" s="4" t="s">
        <v>116</v>
      </c>
      <c r="F109" s="4" t="s">
        <v>117</v>
      </c>
      <c r="G109" s="4" t="s">
        <v>35</v>
      </c>
      <c r="H109" s="4">
        <v>1</v>
      </c>
      <c r="I109" s="4">
        <v>79.989999999999995</v>
      </c>
      <c r="J109" s="4" t="s">
        <v>22</v>
      </c>
      <c r="K109" s="4" t="s">
        <v>52</v>
      </c>
      <c r="L109" s="4" t="s">
        <v>24</v>
      </c>
      <c r="M109" s="5">
        <v>44693</v>
      </c>
      <c r="N109" s="4">
        <v>79.989999999999995</v>
      </c>
    </row>
    <row r="110" spans="1:14" ht="15.75" customHeight="1" x14ac:dyDescent="0.3">
      <c r="A110" s="4" t="s">
        <v>245</v>
      </c>
      <c r="B110" s="5">
        <v>45547</v>
      </c>
      <c r="C110" s="4" t="s">
        <v>50</v>
      </c>
      <c r="D110" s="4" t="s">
        <v>51</v>
      </c>
      <c r="E110" s="4" t="s">
        <v>107</v>
      </c>
      <c r="F110" s="4" t="s">
        <v>108</v>
      </c>
      <c r="G110" s="4" t="s">
        <v>48</v>
      </c>
      <c r="H110" s="4">
        <v>3</v>
      </c>
      <c r="I110" s="4">
        <v>299.99</v>
      </c>
      <c r="J110" s="4" t="s">
        <v>28</v>
      </c>
      <c r="K110" s="4" t="s">
        <v>23</v>
      </c>
      <c r="L110" s="4" t="s">
        <v>29</v>
      </c>
      <c r="M110" s="5">
        <v>44494</v>
      </c>
      <c r="N110" s="4">
        <v>899.97</v>
      </c>
    </row>
    <row r="111" spans="1:14" ht="15.75" customHeight="1" x14ac:dyDescent="0.3">
      <c r="A111" s="4" t="s">
        <v>246</v>
      </c>
      <c r="B111" s="5">
        <v>45548</v>
      </c>
      <c r="C111" s="4" t="s">
        <v>40</v>
      </c>
      <c r="D111" s="4" t="s">
        <v>41</v>
      </c>
      <c r="E111" s="4" t="s">
        <v>119</v>
      </c>
      <c r="F111" s="4" t="s">
        <v>120</v>
      </c>
      <c r="G111" s="4" t="s">
        <v>21</v>
      </c>
      <c r="H111" s="4">
        <v>2</v>
      </c>
      <c r="I111" s="4">
        <v>89.99</v>
      </c>
      <c r="J111" s="4" t="s">
        <v>28</v>
      </c>
      <c r="K111" s="4" t="s">
        <v>37</v>
      </c>
      <c r="L111" s="4" t="s">
        <v>29</v>
      </c>
      <c r="M111" s="5">
        <v>44641</v>
      </c>
      <c r="N111" s="4">
        <v>179.98</v>
      </c>
    </row>
    <row r="112" spans="1:14" ht="15.75" customHeight="1" x14ac:dyDescent="0.3">
      <c r="A112" s="4" t="s">
        <v>247</v>
      </c>
      <c r="B112" s="5">
        <v>45550</v>
      </c>
      <c r="C112" s="4" t="s">
        <v>248</v>
      </c>
      <c r="D112" s="4" t="s">
        <v>249</v>
      </c>
      <c r="E112" s="4" t="s">
        <v>54</v>
      </c>
      <c r="F112" s="4" t="s">
        <v>55</v>
      </c>
      <c r="G112" s="4" t="s">
        <v>21</v>
      </c>
      <c r="H112" s="4">
        <v>4</v>
      </c>
      <c r="I112" s="4">
        <v>149.99</v>
      </c>
      <c r="J112" s="4" t="s">
        <v>22</v>
      </c>
      <c r="K112" s="4" t="s">
        <v>42</v>
      </c>
      <c r="L112" s="4" t="s">
        <v>24</v>
      </c>
      <c r="M112" s="5">
        <v>44909</v>
      </c>
      <c r="N112" s="4">
        <v>599.96</v>
      </c>
    </row>
    <row r="113" spans="1:14" ht="15.75" customHeight="1" x14ac:dyDescent="0.3">
      <c r="A113" s="4" t="s">
        <v>250</v>
      </c>
      <c r="B113" s="5">
        <v>45551</v>
      </c>
      <c r="C113" s="4" t="s">
        <v>67</v>
      </c>
      <c r="D113" s="4" t="s">
        <v>68</v>
      </c>
      <c r="E113" s="4" t="s">
        <v>19</v>
      </c>
      <c r="F113" s="4" t="s">
        <v>20</v>
      </c>
      <c r="G113" s="4" t="s">
        <v>21</v>
      </c>
      <c r="H113" s="4">
        <v>2</v>
      </c>
      <c r="I113" s="4">
        <v>249.99</v>
      </c>
      <c r="J113" s="4" t="s">
        <v>36</v>
      </c>
      <c r="K113" s="4" t="s">
        <v>37</v>
      </c>
      <c r="L113" s="4" t="s">
        <v>24</v>
      </c>
      <c r="M113" s="5">
        <v>44993</v>
      </c>
      <c r="N113" s="4">
        <v>499.98</v>
      </c>
    </row>
    <row r="114" spans="1:14" ht="15.75" customHeight="1" x14ac:dyDescent="0.3">
      <c r="A114" s="4" t="s">
        <v>251</v>
      </c>
      <c r="B114" s="5">
        <v>45551</v>
      </c>
      <c r="C114" s="4" t="s">
        <v>156</v>
      </c>
      <c r="D114" s="4" t="s">
        <v>157</v>
      </c>
      <c r="E114" s="4" t="s">
        <v>128</v>
      </c>
      <c r="F114" s="4" t="s">
        <v>129</v>
      </c>
      <c r="G114" s="4" t="s">
        <v>48</v>
      </c>
      <c r="H114" s="4">
        <v>4</v>
      </c>
      <c r="I114" s="4">
        <v>199.99</v>
      </c>
      <c r="J114" s="4" t="s">
        <v>59</v>
      </c>
      <c r="K114" s="4" t="s">
        <v>65</v>
      </c>
      <c r="L114" s="4" t="s">
        <v>24</v>
      </c>
      <c r="M114" s="5">
        <v>44458</v>
      </c>
      <c r="N114" s="4">
        <v>799.96</v>
      </c>
    </row>
    <row r="115" spans="1:14" ht="15.75" customHeight="1" x14ac:dyDescent="0.3">
      <c r="A115" s="4" t="s">
        <v>252</v>
      </c>
      <c r="B115" s="5">
        <v>45554</v>
      </c>
      <c r="C115" s="4" t="s">
        <v>149</v>
      </c>
      <c r="D115" s="4" t="s">
        <v>150</v>
      </c>
      <c r="E115" s="4" t="s">
        <v>119</v>
      </c>
      <c r="F115" s="4" t="s">
        <v>120</v>
      </c>
      <c r="G115" s="4" t="s">
        <v>21</v>
      </c>
      <c r="H115" s="4">
        <v>5</v>
      </c>
      <c r="I115" s="4">
        <v>89.99</v>
      </c>
      <c r="J115" s="4" t="s">
        <v>28</v>
      </c>
      <c r="K115" s="4" t="s">
        <v>65</v>
      </c>
      <c r="L115" s="4" t="s">
        <v>29</v>
      </c>
      <c r="M115" s="5">
        <v>44446</v>
      </c>
      <c r="N115" s="4">
        <v>449.95</v>
      </c>
    </row>
    <row r="116" spans="1:14" ht="15.75" customHeight="1" x14ac:dyDescent="0.3">
      <c r="A116" s="4" t="s">
        <v>253</v>
      </c>
      <c r="B116" s="5">
        <v>45554</v>
      </c>
      <c r="C116" s="4" t="s">
        <v>254</v>
      </c>
      <c r="D116" s="4" t="s">
        <v>255</v>
      </c>
      <c r="E116" s="4" t="s">
        <v>54</v>
      </c>
      <c r="F116" s="4" t="s">
        <v>55</v>
      </c>
      <c r="G116" s="4" t="s">
        <v>21</v>
      </c>
      <c r="H116" s="4">
        <v>1</v>
      </c>
      <c r="I116" s="4">
        <v>149.99</v>
      </c>
      <c r="J116" s="4" t="s">
        <v>36</v>
      </c>
      <c r="K116" s="4" t="s">
        <v>65</v>
      </c>
      <c r="L116" s="4" t="s">
        <v>38</v>
      </c>
      <c r="M116" s="5">
        <v>44482</v>
      </c>
      <c r="N116" s="4">
        <v>149.99</v>
      </c>
    </row>
    <row r="117" spans="1:14" ht="15.75" customHeight="1" x14ac:dyDescent="0.3">
      <c r="A117" s="4" t="s">
        <v>256</v>
      </c>
      <c r="B117" s="5">
        <v>45554</v>
      </c>
      <c r="C117" s="4" t="s">
        <v>74</v>
      </c>
      <c r="D117" s="4" t="s">
        <v>75</v>
      </c>
      <c r="E117" s="4" t="s">
        <v>82</v>
      </c>
      <c r="F117" s="4" t="s">
        <v>83</v>
      </c>
      <c r="G117" s="4" t="s">
        <v>21</v>
      </c>
      <c r="H117" s="4">
        <v>4</v>
      </c>
      <c r="I117" s="4">
        <v>699.99</v>
      </c>
      <c r="J117" s="4" t="s">
        <v>36</v>
      </c>
      <c r="K117" s="4" t="s">
        <v>37</v>
      </c>
      <c r="L117" s="4" t="s">
        <v>24</v>
      </c>
      <c r="M117" s="5">
        <v>44618</v>
      </c>
      <c r="N117" s="4">
        <v>2799.96</v>
      </c>
    </row>
    <row r="118" spans="1:14" ht="15.75" customHeight="1" x14ac:dyDescent="0.3">
      <c r="A118" s="4" t="s">
        <v>257</v>
      </c>
      <c r="B118" s="5">
        <v>45559</v>
      </c>
      <c r="C118" s="4" t="s">
        <v>236</v>
      </c>
      <c r="D118" s="4" t="s">
        <v>237</v>
      </c>
      <c r="E118" s="4" t="s">
        <v>63</v>
      </c>
      <c r="F118" s="4" t="s">
        <v>64</v>
      </c>
      <c r="G118" s="4" t="s">
        <v>21</v>
      </c>
      <c r="H118" s="4">
        <v>3</v>
      </c>
      <c r="I118" s="4">
        <v>899.99</v>
      </c>
      <c r="J118" s="4" t="s">
        <v>28</v>
      </c>
      <c r="K118" s="4" t="s">
        <v>42</v>
      </c>
      <c r="L118" s="4" t="s">
        <v>38</v>
      </c>
      <c r="M118" s="5">
        <v>45157</v>
      </c>
      <c r="N118" s="4">
        <v>2699.97</v>
      </c>
    </row>
    <row r="119" spans="1:14" ht="15.75" customHeight="1" x14ac:dyDescent="0.3">
      <c r="A119" s="4" t="s">
        <v>258</v>
      </c>
      <c r="B119" s="5">
        <v>45560</v>
      </c>
      <c r="C119" s="4" t="s">
        <v>114</v>
      </c>
      <c r="D119" s="4" t="s">
        <v>115</v>
      </c>
      <c r="E119" s="4" t="s">
        <v>46</v>
      </c>
      <c r="F119" s="4" t="s">
        <v>47</v>
      </c>
      <c r="G119" s="4" t="s">
        <v>48</v>
      </c>
      <c r="H119" s="4">
        <v>3</v>
      </c>
      <c r="I119" s="4">
        <v>149.99</v>
      </c>
      <c r="J119" s="4" t="s">
        <v>36</v>
      </c>
      <c r="K119" s="4" t="s">
        <v>65</v>
      </c>
      <c r="L119" s="4" t="s">
        <v>24</v>
      </c>
      <c r="M119" s="5">
        <v>44886</v>
      </c>
      <c r="N119" s="4">
        <v>449.97</v>
      </c>
    </row>
    <row r="120" spans="1:14" ht="15.75" customHeight="1" x14ac:dyDescent="0.3">
      <c r="A120" s="4" t="s">
        <v>259</v>
      </c>
      <c r="B120" s="5">
        <v>45563</v>
      </c>
      <c r="C120" s="4" t="s">
        <v>101</v>
      </c>
      <c r="D120" s="4" t="s">
        <v>102</v>
      </c>
      <c r="E120" s="4" t="s">
        <v>107</v>
      </c>
      <c r="F120" s="4" t="s">
        <v>108</v>
      </c>
      <c r="G120" s="4" t="s">
        <v>48</v>
      </c>
      <c r="H120" s="4">
        <v>2</v>
      </c>
      <c r="I120" s="4">
        <v>299.99</v>
      </c>
      <c r="J120" s="4" t="s">
        <v>59</v>
      </c>
      <c r="K120" s="4" t="s">
        <v>23</v>
      </c>
      <c r="L120" s="4" t="s">
        <v>24</v>
      </c>
      <c r="M120" s="5">
        <v>44569</v>
      </c>
      <c r="N120" s="4">
        <v>599.98</v>
      </c>
    </row>
    <row r="121" spans="1:14" ht="15.75" customHeight="1" x14ac:dyDescent="0.3">
      <c r="A121" s="4" t="s">
        <v>260</v>
      </c>
      <c r="B121" s="5">
        <v>45564</v>
      </c>
      <c r="C121" s="4" t="s">
        <v>261</v>
      </c>
      <c r="D121" s="4" t="s">
        <v>262</v>
      </c>
      <c r="E121" s="4" t="s">
        <v>128</v>
      </c>
      <c r="F121" s="4" t="s">
        <v>129</v>
      </c>
      <c r="G121" s="4" t="s">
        <v>48</v>
      </c>
      <c r="H121" s="4">
        <v>1</v>
      </c>
      <c r="I121" s="4">
        <v>199.99</v>
      </c>
      <c r="J121" s="4" t="s">
        <v>59</v>
      </c>
      <c r="K121" s="4" t="s">
        <v>65</v>
      </c>
      <c r="L121" s="4" t="s">
        <v>38</v>
      </c>
      <c r="M121" s="5">
        <v>44953</v>
      </c>
      <c r="N121" s="4">
        <v>199.99</v>
      </c>
    </row>
    <row r="122" spans="1:14" ht="15.75" customHeight="1" x14ac:dyDescent="0.3">
      <c r="A122" s="4" t="s">
        <v>263</v>
      </c>
      <c r="B122" s="5">
        <v>45566</v>
      </c>
      <c r="C122" s="4" t="s">
        <v>44</v>
      </c>
      <c r="D122" s="4" t="s">
        <v>45</v>
      </c>
      <c r="E122" s="4" t="s">
        <v>107</v>
      </c>
      <c r="F122" s="4" t="s">
        <v>108</v>
      </c>
      <c r="G122" s="4" t="s">
        <v>48</v>
      </c>
      <c r="H122" s="4">
        <v>4</v>
      </c>
      <c r="I122" s="4">
        <v>299.99</v>
      </c>
      <c r="J122" s="4" t="s">
        <v>22</v>
      </c>
      <c r="K122" s="4" t="s">
        <v>23</v>
      </c>
      <c r="L122" s="4" t="s">
        <v>29</v>
      </c>
      <c r="M122" s="5">
        <v>44460</v>
      </c>
      <c r="N122" s="4">
        <v>1199.96</v>
      </c>
    </row>
    <row r="123" spans="1:14" ht="15.75" customHeight="1" x14ac:dyDescent="0.3">
      <c r="A123" s="4" t="s">
        <v>264</v>
      </c>
      <c r="B123" s="5">
        <v>45572</v>
      </c>
      <c r="C123" s="4" t="s">
        <v>91</v>
      </c>
      <c r="D123" s="4" t="s">
        <v>92</v>
      </c>
      <c r="E123" s="4" t="s">
        <v>33</v>
      </c>
      <c r="F123" s="4" t="s">
        <v>34</v>
      </c>
      <c r="G123" s="4" t="s">
        <v>35</v>
      </c>
      <c r="H123" s="4">
        <v>2</v>
      </c>
      <c r="I123" s="4">
        <v>59.99</v>
      </c>
      <c r="J123" s="4" t="s">
        <v>28</v>
      </c>
      <c r="K123" s="4" t="s">
        <v>23</v>
      </c>
      <c r="L123" s="4" t="s">
        <v>24</v>
      </c>
      <c r="M123" s="5">
        <v>44579</v>
      </c>
      <c r="N123" s="4">
        <v>119.98</v>
      </c>
    </row>
    <row r="124" spans="1:14" ht="15.75" customHeight="1" x14ac:dyDescent="0.3">
      <c r="A124" s="4" t="s">
        <v>265</v>
      </c>
      <c r="B124" s="5">
        <v>45572</v>
      </c>
      <c r="C124" s="4" t="s">
        <v>236</v>
      </c>
      <c r="D124" s="4" t="s">
        <v>237</v>
      </c>
      <c r="E124" s="4" t="s">
        <v>54</v>
      </c>
      <c r="F124" s="4" t="s">
        <v>55</v>
      </c>
      <c r="G124" s="4" t="s">
        <v>21</v>
      </c>
      <c r="H124" s="4">
        <v>4</v>
      </c>
      <c r="I124" s="4">
        <v>149.99</v>
      </c>
      <c r="J124" s="4" t="s">
        <v>28</v>
      </c>
      <c r="K124" s="4" t="s">
        <v>42</v>
      </c>
      <c r="L124" s="4" t="s">
        <v>29</v>
      </c>
      <c r="M124" s="5">
        <v>45076</v>
      </c>
      <c r="N124" s="4">
        <v>599.96</v>
      </c>
    </row>
    <row r="125" spans="1:14" ht="15.75" customHeight="1" x14ac:dyDescent="0.3">
      <c r="A125" s="4" t="s">
        <v>266</v>
      </c>
      <c r="B125" s="5">
        <v>45573</v>
      </c>
      <c r="C125" s="4" t="s">
        <v>213</v>
      </c>
      <c r="D125" s="4" t="s">
        <v>214</v>
      </c>
      <c r="E125" s="4" t="s">
        <v>82</v>
      </c>
      <c r="F125" s="4" t="s">
        <v>83</v>
      </c>
      <c r="G125" s="4" t="s">
        <v>21</v>
      </c>
      <c r="H125" s="4">
        <v>2</v>
      </c>
      <c r="I125" s="4">
        <v>699.99</v>
      </c>
      <c r="J125" s="4" t="s">
        <v>59</v>
      </c>
      <c r="K125" s="4" t="s">
        <v>65</v>
      </c>
      <c r="L125" s="4" t="s">
        <v>29</v>
      </c>
      <c r="M125" s="5">
        <v>45274</v>
      </c>
      <c r="N125" s="4">
        <v>1399.98</v>
      </c>
    </row>
    <row r="126" spans="1:14" ht="15.75" customHeight="1" x14ac:dyDescent="0.3">
      <c r="A126" s="4" t="s">
        <v>267</v>
      </c>
      <c r="B126" s="5">
        <v>45573</v>
      </c>
      <c r="C126" s="4" t="s">
        <v>233</v>
      </c>
      <c r="D126" s="4" t="s">
        <v>234</v>
      </c>
      <c r="E126" s="4" t="s">
        <v>46</v>
      </c>
      <c r="F126" s="4" t="s">
        <v>47</v>
      </c>
      <c r="G126" s="4" t="s">
        <v>48</v>
      </c>
      <c r="H126" s="4">
        <v>3</v>
      </c>
      <c r="I126" s="4">
        <v>149.99</v>
      </c>
      <c r="J126" s="4" t="s">
        <v>28</v>
      </c>
      <c r="K126" s="4" t="s">
        <v>37</v>
      </c>
      <c r="L126" s="4" t="s">
        <v>38</v>
      </c>
      <c r="M126" s="5">
        <v>44940</v>
      </c>
      <c r="N126" s="4">
        <v>449.97</v>
      </c>
    </row>
    <row r="127" spans="1:14" ht="15.75" customHeight="1" x14ac:dyDescent="0.3">
      <c r="A127" s="4" t="s">
        <v>268</v>
      </c>
      <c r="B127" s="5">
        <v>45576</v>
      </c>
      <c r="C127" s="4" t="s">
        <v>149</v>
      </c>
      <c r="D127" s="4" t="s">
        <v>150</v>
      </c>
      <c r="E127" s="4" t="s">
        <v>107</v>
      </c>
      <c r="F127" s="4" t="s">
        <v>108</v>
      </c>
      <c r="G127" s="4" t="s">
        <v>48</v>
      </c>
      <c r="H127" s="4">
        <v>3</v>
      </c>
      <c r="I127" s="4">
        <v>299.99</v>
      </c>
      <c r="J127" s="4" t="s">
        <v>28</v>
      </c>
      <c r="K127" s="4" t="s">
        <v>23</v>
      </c>
      <c r="L127" s="4" t="s">
        <v>38</v>
      </c>
      <c r="M127" s="5">
        <v>45174</v>
      </c>
      <c r="N127" s="4">
        <v>899.97</v>
      </c>
    </row>
    <row r="128" spans="1:14" ht="15.75" customHeight="1" x14ac:dyDescent="0.3">
      <c r="A128" s="4" t="s">
        <v>269</v>
      </c>
      <c r="B128" s="5">
        <v>45579</v>
      </c>
      <c r="C128" s="4" t="s">
        <v>85</v>
      </c>
      <c r="D128" s="4" t="s">
        <v>86</v>
      </c>
      <c r="E128" s="4" t="s">
        <v>63</v>
      </c>
      <c r="F128" s="4" t="s">
        <v>64</v>
      </c>
      <c r="G128" s="4" t="s">
        <v>21</v>
      </c>
      <c r="H128" s="4">
        <v>3</v>
      </c>
      <c r="I128" s="4">
        <v>899.99</v>
      </c>
      <c r="J128" s="4" t="s">
        <v>36</v>
      </c>
      <c r="K128" s="4" t="s">
        <v>52</v>
      </c>
      <c r="L128" s="4" t="s">
        <v>24</v>
      </c>
      <c r="M128" s="5">
        <v>45215</v>
      </c>
      <c r="N128" s="4">
        <v>2699.97</v>
      </c>
    </row>
    <row r="129" spans="1:14" ht="15.75" customHeight="1" x14ac:dyDescent="0.3">
      <c r="A129" s="4" t="s">
        <v>270</v>
      </c>
      <c r="B129" s="5">
        <v>45581</v>
      </c>
      <c r="C129" s="4" t="s">
        <v>98</v>
      </c>
      <c r="D129" s="4" t="s">
        <v>99</v>
      </c>
      <c r="E129" s="4" t="s">
        <v>82</v>
      </c>
      <c r="F129" s="4" t="s">
        <v>83</v>
      </c>
      <c r="G129" s="4" t="s">
        <v>21</v>
      </c>
      <c r="H129" s="4">
        <v>5</v>
      </c>
      <c r="I129" s="4">
        <v>699.99</v>
      </c>
      <c r="J129" s="4" t="s">
        <v>22</v>
      </c>
      <c r="K129" s="4" t="s">
        <v>65</v>
      </c>
      <c r="L129" s="4" t="s">
        <v>38</v>
      </c>
      <c r="M129" s="5">
        <v>45008</v>
      </c>
      <c r="N129" s="4">
        <v>3499.95</v>
      </c>
    </row>
    <row r="130" spans="1:14" ht="15.75" customHeight="1" x14ac:dyDescent="0.3">
      <c r="A130" s="4" t="s">
        <v>271</v>
      </c>
      <c r="B130" s="5">
        <v>45581</v>
      </c>
      <c r="C130" s="4" t="s">
        <v>173</v>
      </c>
      <c r="D130" s="4" t="s">
        <v>174</v>
      </c>
      <c r="E130" s="4" t="s">
        <v>82</v>
      </c>
      <c r="F130" s="4" t="s">
        <v>83</v>
      </c>
      <c r="G130" s="4" t="s">
        <v>21</v>
      </c>
      <c r="H130" s="4">
        <v>4</v>
      </c>
      <c r="I130" s="4">
        <v>699.99</v>
      </c>
      <c r="J130" s="4" t="s">
        <v>28</v>
      </c>
      <c r="K130" s="4" t="s">
        <v>23</v>
      </c>
      <c r="L130" s="4" t="s">
        <v>24</v>
      </c>
      <c r="M130" s="5">
        <v>45385</v>
      </c>
      <c r="N130" s="4">
        <v>2799.96</v>
      </c>
    </row>
    <row r="131" spans="1:14" ht="15.75" customHeight="1" x14ac:dyDescent="0.3">
      <c r="A131" s="4" t="s">
        <v>272</v>
      </c>
      <c r="B131" s="5">
        <v>45581</v>
      </c>
      <c r="C131" s="4" t="s">
        <v>152</v>
      </c>
      <c r="D131" s="4" t="s">
        <v>153</v>
      </c>
      <c r="E131" s="4" t="s">
        <v>63</v>
      </c>
      <c r="F131" s="4" t="s">
        <v>64</v>
      </c>
      <c r="G131" s="4" t="s">
        <v>21</v>
      </c>
      <c r="H131" s="4">
        <v>1</v>
      </c>
      <c r="I131" s="4">
        <v>899.99</v>
      </c>
      <c r="J131" s="4" t="s">
        <v>28</v>
      </c>
      <c r="K131" s="4" t="s">
        <v>65</v>
      </c>
      <c r="L131" s="4" t="s">
        <v>38</v>
      </c>
      <c r="M131" s="5">
        <v>45369</v>
      </c>
      <c r="N131" s="4">
        <v>899.99</v>
      </c>
    </row>
    <row r="132" spans="1:14" ht="15.75" customHeight="1" x14ac:dyDescent="0.3">
      <c r="A132" s="4" t="s">
        <v>273</v>
      </c>
      <c r="B132" s="5">
        <v>45583</v>
      </c>
      <c r="C132" s="4" t="s">
        <v>228</v>
      </c>
      <c r="D132" s="4" t="s">
        <v>229</v>
      </c>
      <c r="E132" s="4" t="s">
        <v>54</v>
      </c>
      <c r="F132" s="4" t="s">
        <v>55</v>
      </c>
      <c r="G132" s="4" t="s">
        <v>21</v>
      </c>
      <c r="H132" s="4">
        <v>2</v>
      </c>
      <c r="I132" s="4">
        <v>149.99</v>
      </c>
      <c r="J132" s="4" t="s">
        <v>28</v>
      </c>
      <c r="K132" s="4" t="s">
        <v>52</v>
      </c>
      <c r="L132" s="4" t="s">
        <v>24</v>
      </c>
      <c r="M132" s="5">
        <v>44916</v>
      </c>
      <c r="N132" s="4">
        <v>299.98</v>
      </c>
    </row>
    <row r="133" spans="1:14" ht="15.75" customHeight="1" x14ac:dyDescent="0.3">
      <c r="A133" s="4" t="s">
        <v>274</v>
      </c>
      <c r="B133" s="5">
        <v>45586</v>
      </c>
      <c r="C133" s="4" t="s">
        <v>228</v>
      </c>
      <c r="D133" s="4" t="s">
        <v>229</v>
      </c>
      <c r="E133" s="4" t="s">
        <v>119</v>
      </c>
      <c r="F133" s="4" t="s">
        <v>120</v>
      </c>
      <c r="G133" s="4" t="s">
        <v>21</v>
      </c>
      <c r="H133" s="4">
        <v>3</v>
      </c>
      <c r="I133" s="4">
        <v>89.99</v>
      </c>
      <c r="J133" s="4" t="s">
        <v>36</v>
      </c>
      <c r="K133" s="4" t="s">
        <v>23</v>
      </c>
      <c r="L133" s="4" t="s">
        <v>24</v>
      </c>
      <c r="M133" s="5">
        <v>44551</v>
      </c>
      <c r="N133" s="4">
        <v>269.97000000000003</v>
      </c>
    </row>
    <row r="134" spans="1:14" ht="15.75" customHeight="1" x14ac:dyDescent="0.3">
      <c r="A134" s="4" t="s">
        <v>275</v>
      </c>
      <c r="B134" s="5">
        <v>45588</v>
      </c>
      <c r="C134" s="4" t="s">
        <v>40</v>
      </c>
      <c r="D134" s="4" t="s">
        <v>41</v>
      </c>
      <c r="E134" s="4" t="s">
        <v>54</v>
      </c>
      <c r="F134" s="4" t="s">
        <v>55</v>
      </c>
      <c r="G134" s="4" t="s">
        <v>21</v>
      </c>
      <c r="H134" s="4">
        <v>2</v>
      </c>
      <c r="I134" s="4">
        <v>149.99</v>
      </c>
      <c r="J134" s="4" t="s">
        <v>36</v>
      </c>
      <c r="K134" s="4" t="s">
        <v>23</v>
      </c>
      <c r="L134" s="4" t="s">
        <v>24</v>
      </c>
      <c r="M134" s="5">
        <v>44473</v>
      </c>
      <c r="N134" s="4">
        <v>299.98</v>
      </c>
    </row>
    <row r="135" spans="1:14" ht="15.75" customHeight="1" x14ac:dyDescent="0.3">
      <c r="A135" s="4" t="s">
        <v>276</v>
      </c>
      <c r="B135" s="5">
        <v>45588</v>
      </c>
      <c r="C135" s="4" t="s">
        <v>156</v>
      </c>
      <c r="D135" s="4" t="s">
        <v>157</v>
      </c>
      <c r="E135" s="4" t="s">
        <v>82</v>
      </c>
      <c r="F135" s="4" t="s">
        <v>83</v>
      </c>
      <c r="G135" s="4" t="s">
        <v>21</v>
      </c>
      <c r="H135" s="4">
        <v>2</v>
      </c>
      <c r="I135" s="4">
        <v>699.99</v>
      </c>
      <c r="J135" s="4" t="s">
        <v>22</v>
      </c>
      <c r="K135" s="4" t="s">
        <v>23</v>
      </c>
      <c r="L135" s="4" t="s">
        <v>24</v>
      </c>
      <c r="M135" s="5">
        <v>44992</v>
      </c>
      <c r="N135" s="4">
        <v>1399.98</v>
      </c>
    </row>
    <row r="136" spans="1:14" ht="15.75" customHeight="1" x14ac:dyDescent="0.3">
      <c r="A136" s="4" t="s">
        <v>277</v>
      </c>
      <c r="B136" s="5">
        <v>45589</v>
      </c>
      <c r="C136" s="4" t="s">
        <v>160</v>
      </c>
      <c r="D136" s="4" t="s">
        <v>161</v>
      </c>
      <c r="E136" s="4" t="s">
        <v>82</v>
      </c>
      <c r="F136" s="4" t="s">
        <v>83</v>
      </c>
      <c r="G136" s="4" t="s">
        <v>21</v>
      </c>
      <c r="H136" s="4">
        <v>5</v>
      </c>
      <c r="I136" s="4">
        <v>699.99</v>
      </c>
      <c r="J136" s="4" t="s">
        <v>22</v>
      </c>
      <c r="K136" s="4" t="s">
        <v>42</v>
      </c>
      <c r="L136" s="4" t="s">
        <v>29</v>
      </c>
      <c r="M136" s="5">
        <v>44635</v>
      </c>
      <c r="N136" s="4">
        <v>3499.95</v>
      </c>
    </row>
    <row r="137" spans="1:14" ht="15.75" customHeight="1" x14ac:dyDescent="0.3">
      <c r="A137" s="4" t="s">
        <v>278</v>
      </c>
      <c r="B137" s="5">
        <v>45592</v>
      </c>
      <c r="C137" s="4" t="s">
        <v>173</v>
      </c>
      <c r="D137" s="4" t="s">
        <v>174</v>
      </c>
      <c r="E137" s="4" t="s">
        <v>119</v>
      </c>
      <c r="F137" s="4" t="s">
        <v>120</v>
      </c>
      <c r="G137" s="4" t="s">
        <v>21</v>
      </c>
      <c r="H137" s="4">
        <v>3</v>
      </c>
      <c r="I137" s="4">
        <v>89.99</v>
      </c>
      <c r="J137" s="4" t="s">
        <v>28</v>
      </c>
      <c r="K137" s="4" t="s">
        <v>42</v>
      </c>
      <c r="L137" s="4" t="s">
        <v>38</v>
      </c>
      <c r="M137" s="5">
        <v>44615</v>
      </c>
      <c r="N137" s="4">
        <v>269.97000000000003</v>
      </c>
    </row>
    <row r="138" spans="1:14" ht="15.75" customHeight="1" x14ac:dyDescent="0.3">
      <c r="A138" s="4" t="s">
        <v>279</v>
      </c>
      <c r="B138" s="5">
        <v>45597</v>
      </c>
      <c r="C138" s="4" t="s">
        <v>17</v>
      </c>
      <c r="D138" s="4" t="s">
        <v>18</v>
      </c>
      <c r="E138" s="4" t="s">
        <v>19</v>
      </c>
      <c r="F138" s="4" t="s">
        <v>20</v>
      </c>
      <c r="G138" s="4" t="s">
        <v>21</v>
      </c>
      <c r="H138" s="4">
        <v>5</v>
      </c>
      <c r="I138" s="4">
        <v>249.99</v>
      </c>
      <c r="J138" s="4" t="s">
        <v>28</v>
      </c>
      <c r="K138" s="4" t="s">
        <v>37</v>
      </c>
      <c r="L138" s="4" t="s">
        <v>38</v>
      </c>
      <c r="M138" s="5">
        <v>44881</v>
      </c>
      <c r="N138" s="4">
        <v>1249.95</v>
      </c>
    </row>
    <row r="139" spans="1:14" ht="15.75" customHeight="1" x14ac:dyDescent="0.3">
      <c r="A139" s="4" t="s">
        <v>280</v>
      </c>
      <c r="B139" s="5">
        <v>45600</v>
      </c>
      <c r="C139" s="4" t="s">
        <v>67</v>
      </c>
      <c r="D139" s="4" t="s">
        <v>68</v>
      </c>
      <c r="E139" s="4" t="s">
        <v>107</v>
      </c>
      <c r="F139" s="4" t="s">
        <v>108</v>
      </c>
      <c r="G139" s="4" t="s">
        <v>48</v>
      </c>
      <c r="H139" s="4">
        <v>3</v>
      </c>
      <c r="I139" s="4">
        <v>299.99</v>
      </c>
      <c r="J139" s="4" t="s">
        <v>28</v>
      </c>
      <c r="K139" s="4" t="s">
        <v>37</v>
      </c>
      <c r="L139" s="4" t="s">
        <v>38</v>
      </c>
      <c r="M139" s="5">
        <v>44502</v>
      </c>
      <c r="N139" s="4">
        <v>899.97</v>
      </c>
    </row>
    <row r="140" spans="1:14" ht="15.75" customHeight="1" x14ac:dyDescent="0.3">
      <c r="A140" s="4" t="s">
        <v>281</v>
      </c>
      <c r="B140" s="5">
        <v>45603</v>
      </c>
      <c r="C140" s="4" t="s">
        <v>101</v>
      </c>
      <c r="D140" s="4" t="s">
        <v>102</v>
      </c>
      <c r="E140" s="4" t="s">
        <v>119</v>
      </c>
      <c r="F140" s="4" t="s">
        <v>120</v>
      </c>
      <c r="G140" s="4" t="s">
        <v>21</v>
      </c>
      <c r="H140" s="4">
        <v>3</v>
      </c>
      <c r="I140" s="4">
        <v>89.99</v>
      </c>
      <c r="J140" s="4" t="s">
        <v>28</v>
      </c>
      <c r="K140" s="4" t="s">
        <v>42</v>
      </c>
      <c r="L140" s="4" t="s">
        <v>29</v>
      </c>
      <c r="M140" s="5">
        <v>44420</v>
      </c>
      <c r="N140" s="4">
        <v>269.97000000000003</v>
      </c>
    </row>
    <row r="141" spans="1:14" ht="15.75" customHeight="1" x14ac:dyDescent="0.3">
      <c r="A141" s="4" t="s">
        <v>282</v>
      </c>
      <c r="B141" s="5">
        <v>45604</v>
      </c>
      <c r="C141" s="4" t="s">
        <v>91</v>
      </c>
      <c r="D141" s="4" t="s">
        <v>92</v>
      </c>
      <c r="E141" s="4" t="s">
        <v>46</v>
      </c>
      <c r="F141" s="4" t="s">
        <v>47</v>
      </c>
      <c r="G141" s="4" t="s">
        <v>48</v>
      </c>
      <c r="H141" s="4">
        <v>2</v>
      </c>
      <c r="I141" s="4">
        <v>149.99</v>
      </c>
      <c r="J141" s="4" t="s">
        <v>28</v>
      </c>
      <c r="K141" s="4" t="s">
        <v>52</v>
      </c>
      <c r="L141" s="4" t="s">
        <v>29</v>
      </c>
      <c r="M141" s="5">
        <v>44848</v>
      </c>
      <c r="N141" s="4">
        <v>299.98</v>
      </c>
    </row>
    <row r="142" spans="1:14" ht="15.75" customHeight="1" x14ac:dyDescent="0.3">
      <c r="A142" s="4" t="s">
        <v>283</v>
      </c>
      <c r="B142" s="5">
        <v>45605</v>
      </c>
      <c r="C142" s="4" t="s">
        <v>187</v>
      </c>
      <c r="D142" s="4" t="s">
        <v>188</v>
      </c>
      <c r="E142" s="4" t="s">
        <v>19</v>
      </c>
      <c r="F142" s="4" t="s">
        <v>20</v>
      </c>
      <c r="G142" s="4" t="s">
        <v>21</v>
      </c>
      <c r="H142" s="4">
        <v>1</v>
      </c>
      <c r="I142" s="4">
        <v>249.99</v>
      </c>
      <c r="J142" s="4" t="s">
        <v>28</v>
      </c>
      <c r="K142" s="4" t="s">
        <v>42</v>
      </c>
      <c r="L142" s="4" t="s">
        <v>29</v>
      </c>
      <c r="M142" s="5">
        <v>44828</v>
      </c>
      <c r="N142" s="4">
        <v>249.99</v>
      </c>
    </row>
    <row r="143" spans="1:14" ht="15.75" customHeight="1" x14ac:dyDescent="0.3">
      <c r="A143" s="4" t="s">
        <v>284</v>
      </c>
      <c r="B143" s="5">
        <v>45607</v>
      </c>
      <c r="C143" s="4" t="s">
        <v>74</v>
      </c>
      <c r="D143" s="4" t="s">
        <v>75</v>
      </c>
      <c r="E143" s="4" t="s">
        <v>54</v>
      </c>
      <c r="F143" s="4" t="s">
        <v>55</v>
      </c>
      <c r="G143" s="4" t="s">
        <v>21</v>
      </c>
      <c r="H143" s="4">
        <v>3</v>
      </c>
      <c r="I143" s="4">
        <v>149.99</v>
      </c>
      <c r="J143" s="4" t="s">
        <v>22</v>
      </c>
      <c r="K143" s="4" t="s">
        <v>42</v>
      </c>
      <c r="L143" s="4" t="s">
        <v>24</v>
      </c>
      <c r="M143" s="5">
        <v>44769</v>
      </c>
      <c r="N143" s="4">
        <v>449.97</v>
      </c>
    </row>
    <row r="144" spans="1:14" ht="15.75" customHeight="1" x14ac:dyDescent="0.3">
      <c r="A144" s="4" t="s">
        <v>285</v>
      </c>
      <c r="B144" s="5">
        <v>45607</v>
      </c>
      <c r="C144" s="4" t="s">
        <v>17</v>
      </c>
      <c r="D144" s="4" t="s">
        <v>18</v>
      </c>
      <c r="E144" s="4" t="s">
        <v>33</v>
      </c>
      <c r="F144" s="4" t="s">
        <v>34</v>
      </c>
      <c r="G144" s="4" t="s">
        <v>35</v>
      </c>
      <c r="H144" s="4">
        <v>5</v>
      </c>
      <c r="I144" s="4">
        <v>59.99</v>
      </c>
      <c r="J144" s="4" t="s">
        <v>36</v>
      </c>
      <c r="K144" s="4" t="s">
        <v>52</v>
      </c>
      <c r="L144" s="4" t="s">
        <v>29</v>
      </c>
      <c r="M144" s="5">
        <v>44694</v>
      </c>
      <c r="N144" s="4">
        <v>299.95</v>
      </c>
    </row>
    <row r="145" spans="1:14" ht="15.75" customHeight="1" x14ac:dyDescent="0.3">
      <c r="A145" s="4" t="s">
        <v>286</v>
      </c>
      <c r="B145" s="5">
        <v>45607</v>
      </c>
      <c r="C145" s="4" t="s">
        <v>101</v>
      </c>
      <c r="D145" s="4" t="s">
        <v>102</v>
      </c>
      <c r="E145" s="4" t="s">
        <v>19</v>
      </c>
      <c r="F145" s="4" t="s">
        <v>20</v>
      </c>
      <c r="G145" s="4" t="s">
        <v>21</v>
      </c>
      <c r="H145" s="4">
        <v>4</v>
      </c>
      <c r="I145" s="4">
        <v>249.99</v>
      </c>
      <c r="J145" s="4" t="s">
        <v>28</v>
      </c>
      <c r="K145" s="4" t="s">
        <v>52</v>
      </c>
      <c r="L145" s="4" t="s">
        <v>38</v>
      </c>
      <c r="M145" s="5">
        <v>44659</v>
      </c>
      <c r="N145" s="4">
        <v>999.96</v>
      </c>
    </row>
    <row r="146" spans="1:14" ht="15.75" customHeight="1" x14ac:dyDescent="0.3">
      <c r="A146" s="4" t="s">
        <v>287</v>
      </c>
      <c r="B146" s="5">
        <v>45608</v>
      </c>
      <c r="C146" s="4" t="s">
        <v>156</v>
      </c>
      <c r="D146" s="4" t="s">
        <v>157</v>
      </c>
      <c r="E146" s="4" t="s">
        <v>46</v>
      </c>
      <c r="F146" s="4" t="s">
        <v>47</v>
      </c>
      <c r="G146" s="4" t="s">
        <v>48</v>
      </c>
      <c r="H146" s="4">
        <v>5</v>
      </c>
      <c r="I146" s="4">
        <v>149.99</v>
      </c>
      <c r="J146" s="4" t="s">
        <v>36</v>
      </c>
      <c r="K146" s="4" t="s">
        <v>23</v>
      </c>
      <c r="L146" s="4" t="s">
        <v>24</v>
      </c>
      <c r="M146" s="5">
        <v>44901</v>
      </c>
      <c r="N146" s="4">
        <v>749.95</v>
      </c>
    </row>
    <row r="147" spans="1:14" ht="15.75" customHeight="1" x14ac:dyDescent="0.3">
      <c r="A147" s="4" t="s">
        <v>288</v>
      </c>
      <c r="B147" s="5">
        <v>45608</v>
      </c>
      <c r="C147" s="4" t="s">
        <v>85</v>
      </c>
      <c r="D147" s="4" t="s">
        <v>86</v>
      </c>
      <c r="E147" s="4" t="s">
        <v>33</v>
      </c>
      <c r="F147" s="4" t="s">
        <v>34</v>
      </c>
      <c r="G147" s="4" t="s">
        <v>35</v>
      </c>
      <c r="H147" s="4">
        <v>3</v>
      </c>
      <c r="I147" s="4">
        <v>59.99</v>
      </c>
      <c r="J147" s="4" t="s">
        <v>59</v>
      </c>
      <c r="K147" s="4" t="s">
        <v>37</v>
      </c>
      <c r="L147" s="4" t="s">
        <v>38</v>
      </c>
      <c r="M147" s="5">
        <v>45260</v>
      </c>
      <c r="N147" s="4">
        <v>179.97</v>
      </c>
    </row>
    <row r="148" spans="1:14" ht="15.75" customHeight="1" x14ac:dyDescent="0.3">
      <c r="A148" s="4" t="s">
        <v>289</v>
      </c>
      <c r="B148" s="5">
        <v>45613</v>
      </c>
      <c r="C148" s="4" t="s">
        <v>236</v>
      </c>
      <c r="D148" s="4" t="s">
        <v>237</v>
      </c>
      <c r="E148" s="4" t="s">
        <v>46</v>
      </c>
      <c r="F148" s="4" t="s">
        <v>47</v>
      </c>
      <c r="G148" s="4" t="s">
        <v>48</v>
      </c>
      <c r="H148" s="4">
        <v>5</v>
      </c>
      <c r="I148" s="4">
        <v>149.99</v>
      </c>
      <c r="J148" s="4" t="s">
        <v>22</v>
      </c>
      <c r="K148" s="4" t="s">
        <v>42</v>
      </c>
      <c r="L148" s="4" t="s">
        <v>24</v>
      </c>
      <c r="M148" s="5">
        <v>44869</v>
      </c>
      <c r="N148" s="4">
        <v>749.95</v>
      </c>
    </row>
    <row r="149" spans="1:14" ht="15.75" customHeight="1" x14ac:dyDescent="0.3">
      <c r="A149" s="4" t="s">
        <v>290</v>
      </c>
      <c r="B149" s="5">
        <v>45613</v>
      </c>
      <c r="C149" s="4" t="s">
        <v>88</v>
      </c>
      <c r="D149" s="4" t="s">
        <v>89</v>
      </c>
      <c r="E149" s="4" t="s">
        <v>82</v>
      </c>
      <c r="F149" s="4" t="s">
        <v>83</v>
      </c>
      <c r="G149" s="4" t="s">
        <v>21</v>
      </c>
      <c r="H149" s="4">
        <v>2</v>
      </c>
      <c r="I149" s="4">
        <v>699.99</v>
      </c>
      <c r="J149" s="4" t="s">
        <v>36</v>
      </c>
      <c r="K149" s="4" t="s">
        <v>52</v>
      </c>
      <c r="L149" s="4" t="s">
        <v>38</v>
      </c>
      <c r="M149" s="5">
        <v>44770</v>
      </c>
      <c r="N149" s="4">
        <v>1399.98</v>
      </c>
    </row>
    <row r="150" spans="1:14" ht="15.75" customHeight="1" x14ac:dyDescent="0.3">
      <c r="A150" s="4" t="s">
        <v>291</v>
      </c>
      <c r="B150" s="5">
        <v>45617</v>
      </c>
      <c r="C150" s="4" t="s">
        <v>125</v>
      </c>
      <c r="D150" s="4" t="s">
        <v>126</v>
      </c>
      <c r="E150" s="4" t="s">
        <v>128</v>
      </c>
      <c r="F150" s="4" t="s">
        <v>129</v>
      </c>
      <c r="G150" s="4" t="s">
        <v>48</v>
      </c>
      <c r="H150" s="4">
        <v>4</v>
      </c>
      <c r="I150" s="4">
        <v>199.99</v>
      </c>
      <c r="J150" s="4" t="s">
        <v>59</v>
      </c>
      <c r="K150" s="4" t="s">
        <v>23</v>
      </c>
      <c r="L150" s="4" t="s">
        <v>29</v>
      </c>
      <c r="M150" s="5">
        <v>44427</v>
      </c>
      <c r="N150" s="4">
        <v>799.96</v>
      </c>
    </row>
    <row r="151" spans="1:14" ht="15.75" customHeight="1" x14ac:dyDescent="0.3">
      <c r="A151" s="4" t="s">
        <v>292</v>
      </c>
      <c r="B151" s="5">
        <v>45619</v>
      </c>
      <c r="C151" s="4" t="s">
        <v>194</v>
      </c>
      <c r="D151" s="4" t="s">
        <v>195</v>
      </c>
      <c r="E151" s="4" t="s">
        <v>33</v>
      </c>
      <c r="F151" s="4" t="s">
        <v>34</v>
      </c>
      <c r="G151" s="4" t="s">
        <v>35</v>
      </c>
      <c r="H151" s="4">
        <v>1</v>
      </c>
      <c r="I151" s="4">
        <v>59.99</v>
      </c>
      <c r="J151" s="4" t="s">
        <v>59</v>
      </c>
      <c r="K151" s="4" t="s">
        <v>52</v>
      </c>
      <c r="L151" s="4" t="s">
        <v>38</v>
      </c>
      <c r="M151" s="5">
        <v>44560</v>
      </c>
      <c r="N151" s="4">
        <v>59.99</v>
      </c>
    </row>
    <row r="152" spans="1:14" ht="15.75" customHeight="1" x14ac:dyDescent="0.3">
      <c r="A152" s="4" t="s">
        <v>293</v>
      </c>
      <c r="B152" s="5">
        <v>45619</v>
      </c>
      <c r="C152" s="4" t="s">
        <v>156</v>
      </c>
      <c r="D152" s="4" t="s">
        <v>157</v>
      </c>
      <c r="E152" s="4" t="s">
        <v>82</v>
      </c>
      <c r="F152" s="4" t="s">
        <v>83</v>
      </c>
      <c r="G152" s="4" t="s">
        <v>21</v>
      </c>
      <c r="H152" s="4">
        <v>3</v>
      </c>
      <c r="I152" s="4">
        <v>699.99</v>
      </c>
      <c r="J152" s="4" t="s">
        <v>36</v>
      </c>
      <c r="K152" s="4" t="s">
        <v>52</v>
      </c>
      <c r="L152" s="4" t="s">
        <v>38</v>
      </c>
      <c r="M152" s="5">
        <v>44583</v>
      </c>
      <c r="N152" s="4">
        <v>2099.9699999999998</v>
      </c>
    </row>
    <row r="153" spans="1:14" ht="15.75" customHeight="1" x14ac:dyDescent="0.3">
      <c r="A153" s="4" t="s">
        <v>294</v>
      </c>
      <c r="B153" s="5">
        <v>45622</v>
      </c>
      <c r="C153" s="4" t="s">
        <v>295</v>
      </c>
      <c r="D153" s="4" t="s">
        <v>296</v>
      </c>
      <c r="E153" s="4" t="s">
        <v>19</v>
      </c>
      <c r="F153" s="4" t="s">
        <v>20</v>
      </c>
      <c r="G153" s="4" t="s">
        <v>21</v>
      </c>
      <c r="H153" s="4">
        <v>5</v>
      </c>
      <c r="I153" s="4">
        <v>249.99</v>
      </c>
      <c r="J153" s="4" t="s">
        <v>28</v>
      </c>
      <c r="K153" s="4" t="s">
        <v>42</v>
      </c>
      <c r="L153" s="4" t="s">
        <v>24</v>
      </c>
      <c r="M153" s="5">
        <v>44873</v>
      </c>
      <c r="N153" s="4">
        <v>1249.95</v>
      </c>
    </row>
    <row r="154" spans="1:14" ht="15.75" customHeight="1" x14ac:dyDescent="0.3">
      <c r="A154" s="4" t="s">
        <v>297</v>
      </c>
      <c r="B154" s="5">
        <v>45623</v>
      </c>
      <c r="C154" s="4" t="s">
        <v>114</v>
      </c>
      <c r="D154" s="4" t="s">
        <v>115</v>
      </c>
      <c r="E154" s="4" t="s">
        <v>46</v>
      </c>
      <c r="F154" s="4" t="s">
        <v>47</v>
      </c>
      <c r="G154" s="4" t="s">
        <v>48</v>
      </c>
      <c r="H154" s="4">
        <v>2</v>
      </c>
      <c r="I154" s="4">
        <v>149.99</v>
      </c>
      <c r="J154" s="4" t="s">
        <v>22</v>
      </c>
      <c r="K154" s="4" t="s">
        <v>37</v>
      </c>
      <c r="L154" s="4" t="s">
        <v>38</v>
      </c>
      <c r="M154" s="5">
        <v>45101</v>
      </c>
      <c r="N154" s="4">
        <v>299.98</v>
      </c>
    </row>
    <row r="155" spans="1:14" ht="15.75" customHeight="1" x14ac:dyDescent="0.3">
      <c r="A155" s="4" t="s">
        <v>298</v>
      </c>
      <c r="B155" s="5">
        <v>45627</v>
      </c>
      <c r="C155" s="4" t="s">
        <v>31</v>
      </c>
      <c r="D155" s="4" t="s">
        <v>32</v>
      </c>
      <c r="E155" s="4" t="s">
        <v>107</v>
      </c>
      <c r="F155" s="4" t="s">
        <v>108</v>
      </c>
      <c r="G155" s="4" t="s">
        <v>48</v>
      </c>
      <c r="H155" s="4">
        <v>3</v>
      </c>
      <c r="I155" s="4">
        <v>299.99</v>
      </c>
      <c r="J155" s="4" t="s">
        <v>22</v>
      </c>
      <c r="K155" s="4" t="s">
        <v>37</v>
      </c>
      <c r="L155" s="4" t="s">
        <v>29</v>
      </c>
      <c r="M155" s="5">
        <v>44659</v>
      </c>
      <c r="N155" s="4">
        <v>899.97</v>
      </c>
    </row>
    <row r="156" spans="1:14" ht="15.75" customHeight="1" x14ac:dyDescent="0.3">
      <c r="A156" s="4" t="s">
        <v>299</v>
      </c>
      <c r="B156" s="5">
        <v>45627</v>
      </c>
      <c r="C156" s="4" t="s">
        <v>57</v>
      </c>
      <c r="D156" s="4" t="s">
        <v>58</v>
      </c>
      <c r="E156" s="4" t="s">
        <v>19</v>
      </c>
      <c r="F156" s="4" t="s">
        <v>20</v>
      </c>
      <c r="G156" s="4" t="s">
        <v>21</v>
      </c>
      <c r="H156" s="4">
        <v>5</v>
      </c>
      <c r="I156" s="4">
        <v>249.99</v>
      </c>
      <c r="J156" s="4" t="s">
        <v>22</v>
      </c>
      <c r="K156" s="4" t="s">
        <v>23</v>
      </c>
      <c r="L156" s="4" t="s">
        <v>29</v>
      </c>
      <c r="M156" s="5">
        <v>44485</v>
      </c>
      <c r="N156" s="4">
        <v>1249.95</v>
      </c>
    </row>
    <row r="157" spans="1:14" ht="15.75" customHeight="1" x14ac:dyDescent="0.3">
      <c r="A157" s="4" t="s">
        <v>300</v>
      </c>
      <c r="B157" s="5">
        <v>45627</v>
      </c>
      <c r="C157" s="4" t="s">
        <v>26</v>
      </c>
      <c r="D157" s="4" t="s">
        <v>27</v>
      </c>
      <c r="E157" s="4" t="s">
        <v>54</v>
      </c>
      <c r="F157" s="4" t="s">
        <v>55</v>
      </c>
      <c r="G157" s="4" t="s">
        <v>21</v>
      </c>
      <c r="H157" s="4">
        <v>2</v>
      </c>
      <c r="I157" s="4">
        <v>149.99</v>
      </c>
      <c r="J157" s="4" t="s">
        <v>22</v>
      </c>
      <c r="K157" s="4" t="s">
        <v>37</v>
      </c>
      <c r="L157" s="4" t="s">
        <v>29</v>
      </c>
      <c r="M157" s="5">
        <v>44475</v>
      </c>
      <c r="N157" s="4">
        <v>299.98</v>
      </c>
    </row>
    <row r="158" spans="1:14" ht="15.75" customHeight="1" x14ac:dyDescent="0.3">
      <c r="A158" s="4" t="s">
        <v>301</v>
      </c>
      <c r="B158" s="5">
        <v>45627</v>
      </c>
      <c r="C158" s="4" t="s">
        <v>88</v>
      </c>
      <c r="D158" s="4" t="s">
        <v>89</v>
      </c>
      <c r="E158" s="4" t="s">
        <v>82</v>
      </c>
      <c r="F158" s="4" t="s">
        <v>83</v>
      </c>
      <c r="G158" s="4" t="s">
        <v>21</v>
      </c>
      <c r="H158" s="4">
        <v>5</v>
      </c>
      <c r="I158" s="4">
        <v>699.99</v>
      </c>
      <c r="J158" s="4" t="s">
        <v>59</v>
      </c>
      <c r="K158" s="4" t="s">
        <v>52</v>
      </c>
      <c r="L158" s="4" t="s">
        <v>38</v>
      </c>
      <c r="M158" s="5">
        <v>44944</v>
      </c>
      <c r="N158" s="4">
        <v>3499.95</v>
      </c>
    </row>
    <row r="159" spans="1:14" ht="15.75" customHeight="1" x14ac:dyDescent="0.3">
      <c r="A159" s="4" t="s">
        <v>302</v>
      </c>
      <c r="B159" s="5">
        <v>45629</v>
      </c>
      <c r="C159" s="4" t="s">
        <v>254</v>
      </c>
      <c r="D159" s="4" t="s">
        <v>255</v>
      </c>
      <c r="E159" s="4" t="s">
        <v>19</v>
      </c>
      <c r="F159" s="4" t="s">
        <v>20</v>
      </c>
      <c r="G159" s="4" t="s">
        <v>21</v>
      </c>
      <c r="H159" s="4">
        <v>4</v>
      </c>
      <c r="I159" s="4">
        <v>249.99</v>
      </c>
      <c r="J159" s="4" t="s">
        <v>36</v>
      </c>
      <c r="K159" s="4" t="s">
        <v>65</v>
      </c>
      <c r="L159" s="4" t="s">
        <v>29</v>
      </c>
      <c r="M159" s="5">
        <v>45098</v>
      </c>
      <c r="N159" s="4">
        <v>999.96</v>
      </c>
    </row>
    <row r="160" spans="1:14" ht="15.75" customHeight="1" x14ac:dyDescent="0.3">
      <c r="A160" s="4" t="s">
        <v>303</v>
      </c>
      <c r="B160" s="5">
        <v>45630</v>
      </c>
      <c r="C160" s="4" t="s">
        <v>50</v>
      </c>
      <c r="D160" s="4" t="s">
        <v>51</v>
      </c>
      <c r="E160" s="4" t="s">
        <v>82</v>
      </c>
      <c r="F160" s="4" t="s">
        <v>83</v>
      </c>
      <c r="G160" s="4" t="s">
        <v>21</v>
      </c>
      <c r="H160" s="4">
        <v>4</v>
      </c>
      <c r="I160" s="4">
        <v>699.99</v>
      </c>
      <c r="J160" s="4" t="s">
        <v>28</v>
      </c>
      <c r="K160" s="4" t="s">
        <v>42</v>
      </c>
      <c r="L160" s="4" t="s">
        <v>29</v>
      </c>
      <c r="M160" s="5">
        <v>44703</v>
      </c>
      <c r="N160" s="4">
        <v>2799.96</v>
      </c>
    </row>
    <row r="161" spans="1:14" ht="15.75" customHeight="1" x14ac:dyDescent="0.3">
      <c r="A161" s="4" t="s">
        <v>304</v>
      </c>
      <c r="B161" s="5">
        <v>45635</v>
      </c>
      <c r="C161" s="4" t="s">
        <v>110</v>
      </c>
      <c r="D161" s="4" t="s">
        <v>111</v>
      </c>
      <c r="E161" s="4" t="s">
        <v>19</v>
      </c>
      <c r="F161" s="4" t="s">
        <v>20</v>
      </c>
      <c r="G161" s="4" t="s">
        <v>21</v>
      </c>
      <c r="H161" s="4">
        <v>2</v>
      </c>
      <c r="I161" s="4">
        <v>249.99</v>
      </c>
      <c r="J161" s="4" t="s">
        <v>28</v>
      </c>
      <c r="K161" s="4" t="s">
        <v>23</v>
      </c>
      <c r="L161" s="4" t="s">
        <v>29</v>
      </c>
      <c r="M161" s="5">
        <v>44396</v>
      </c>
      <c r="N161" s="4">
        <v>499.98</v>
      </c>
    </row>
    <row r="162" spans="1:14" ht="15.75" customHeight="1" x14ac:dyDescent="0.3">
      <c r="A162" s="4" t="s">
        <v>305</v>
      </c>
      <c r="B162" s="5">
        <v>45635</v>
      </c>
      <c r="C162" s="4" t="s">
        <v>306</v>
      </c>
      <c r="D162" s="4" t="s">
        <v>307</v>
      </c>
      <c r="E162" s="4" t="s">
        <v>33</v>
      </c>
      <c r="F162" s="4" t="s">
        <v>34</v>
      </c>
      <c r="G162" s="4" t="s">
        <v>35</v>
      </c>
      <c r="H162" s="4">
        <v>3</v>
      </c>
      <c r="I162" s="4">
        <v>59.99</v>
      </c>
      <c r="J162" s="4" t="s">
        <v>22</v>
      </c>
      <c r="K162" s="4" t="s">
        <v>23</v>
      </c>
      <c r="L162" s="4" t="s">
        <v>29</v>
      </c>
      <c r="M162" s="5">
        <v>45052</v>
      </c>
      <c r="N162" s="4">
        <v>179.97</v>
      </c>
    </row>
    <row r="163" spans="1:14" ht="15.75" customHeight="1" x14ac:dyDescent="0.3">
      <c r="A163" s="4" t="s">
        <v>308</v>
      </c>
      <c r="B163" s="5">
        <v>45635</v>
      </c>
      <c r="C163" s="4" t="s">
        <v>143</v>
      </c>
      <c r="D163" s="4" t="s">
        <v>144</v>
      </c>
      <c r="E163" s="4" t="s">
        <v>116</v>
      </c>
      <c r="F163" s="4" t="s">
        <v>117</v>
      </c>
      <c r="G163" s="4" t="s">
        <v>35</v>
      </c>
      <c r="H163" s="4">
        <v>4</v>
      </c>
      <c r="I163" s="4">
        <v>79.989999999999995</v>
      </c>
      <c r="J163" s="4" t="s">
        <v>59</v>
      </c>
      <c r="K163" s="4" t="s">
        <v>65</v>
      </c>
      <c r="L163" s="4" t="s">
        <v>38</v>
      </c>
      <c r="M163" s="5">
        <v>44921</v>
      </c>
      <c r="N163" s="4">
        <v>319.95999999999998</v>
      </c>
    </row>
    <row r="164" spans="1:14" ht="15.75" customHeight="1" x14ac:dyDescent="0.3">
      <c r="A164" s="4" t="s">
        <v>309</v>
      </c>
      <c r="B164" s="5">
        <v>45636</v>
      </c>
      <c r="C164" s="4" t="s">
        <v>122</v>
      </c>
      <c r="D164" s="4" t="s">
        <v>123</v>
      </c>
      <c r="E164" s="4" t="s">
        <v>116</v>
      </c>
      <c r="F164" s="4" t="s">
        <v>117</v>
      </c>
      <c r="G164" s="4" t="s">
        <v>35</v>
      </c>
      <c r="H164" s="4">
        <v>3</v>
      </c>
      <c r="I164" s="4">
        <v>79.989999999999995</v>
      </c>
      <c r="J164" s="4" t="s">
        <v>59</v>
      </c>
      <c r="K164" s="4" t="s">
        <v>65</v>
      </c>
      <c r="L164" s="4" t="s">
        <v>38</v>
      </c>
      <c r="M164" s="5">
        <v>44779</v>
      </c>
      <c r="N164" s="4">
        <v>239.97</v>
      </c>
    </row>
    <row r="165" spans="1:14" ht="15.75" customHeight="1" x14ac:dyDescent="0.3">
      <c r="A165" s="4" t="s">
        <v>310</v>
      </c>
      <c r="B165" s="5">
        <v>45638</v>
      </c>
      <c r="C165" s="4" t="s">
        <v>74</v>
      </c>
      <c r="D165" s="4" t="s">
        <v>75</v>
      </c>
      <c r="E165" s="4" t="s">
        <v>63</v>
      </c>
      <c r="F165" s="4" t="s">
        <v>64</v>
      </c>
      <c r="G165" s="4" t="s">
        <v>21</v>
      </c>
      <c r="H165" s="4">
        <v>2</v>
      </c>
      <c r="I165" s="4">
        <v>899.99</v>
      </c>
      <c r="J165" s="4" t="s">
        <v>22</v>
      </c>
      <c r="K165" s="4" t="s">
        <v>42</v>
      </c>
      <c r="L165" s="4" t="s">
        <v>24</v>
      </c>
      <c r="M165" s="5">
        <v>44406</v>
      </c>
      <c r="N165" s="4">
        <v>1799.98</v>
      </c>
    </row>
    <row r="166" spans="1:14" ht="15.75" customHeight="1" x14ac:dyDescent="0.3">
      <c r="A166" s="4" t="s">
        <v>311</v>
      </c>
      <c r="B166" s="5">
        <v>45641</v>
      </c>
      <c r="C166" s="4" t="s">
        <v>184</v>
      </c>
      <c r="D166" s="4" t="s">
        <v>185</v>
      </c>
      <c r="E166" s="4" t="s">
        <v>46</v>
      </c>
      <c r="F166" s="4" t="s">
        <v>47</v>
      </c>
      <c r="G166" s="4" t="s">
        <v>48</v>
      </c>
      <c r="H166" s="4">
        <v>1</v>
      </c>
      <c r="I166" s="4">
        <v>149.99</v>
      </c>
      <c r="J166" s="4" t="s">
        <v>59</v>
      </c>
      <c r="K166" s="4" t="s">
        <v>65</v>
      </c>
      <c r="L166" s="4" t="s">
        <v>38</v>
      </c>
      <c r="M166" s="5">
        <v>45200</v>
      </c>
      <c r="N166" s="4">
        <v>149.99</v>
      </c>
    </row>
    <row r="167" spans="1:14" ht="15.75" customHeight="1" x14ac:dyDescent="0.3">
      <c r="A167" s="4" t="s">
        <v>312</v>
      </c>
      <c r="B167" s="5">
        <v>45641</v>
      </c>
      <c r="C167" s="4" t="s">
        <v>140</v>
      </c>
      <c r="D167" s="4" t="s">
        <v>141</v>
      </c>
      <c r="E167" s="4" t="s">
        <v>107</v>
      </c>
      <c r="F167" s="4" t="s">
        <v>108</v>
      </c>
      <c r="G167" s="4" t="s">
        <v>48</v>
      </c>
      <c r="H167" s="4">
        <v>2</v>
      </c>
      <c r="I167" s="4">
        <v>299.99</v>
      </c>
      <c r="J167" s="4" t="s">
        <v>22</v>
      </c>
      <c r="K167" s="4" t="s">
        <v>65</v>
      </c>
      <c r="L167" s="4" t="s">
        <v>29</v>
      </c>
      <c r="M167" s="5">
        <v>44724</v>
      </c>
      <c r="N167" s="4">
        <v>599.98</v>
      </c>
    </row>
    <row r="168" spans="1:14" ht="15.75" customHeight="1" x14ac:dyDescent="0.3">
      <c r="A168" s="4" t="s">
        <v>313</v>
      </c>
      <c r="B168" s="5">
        <v>45644</v>
      </c>
      <c r="C168" s="4" t="s">
        <v>134</v>
      </c>
      <c r="D168" s="4" t="s">
        <v>135</v>
      </c>
      <c r="E168" s="4" t="s">
        <v>33</v>
      </c>
      <c r="F168" s="4" t="s">
        <v>34</v>
      </c>
      <c r="G168" s="4" t="s">
        <v>35</v>
      </c>
      <c r="H168" s="4">
        <v>2</v>
      </c>
      <c r="I168" s="4">
        <v>59.99</v>
      </c>
      <c r="J168" s="4" t="s">
        <v>22</v>
      </c>
      <c r="K168" s="4" t="s">
        <v>52</v>
      </c>
      <c r="L168" s="4" t="s">
        <v>24</v>
      </c>
      <c r="M168" s="5">
        <v>45191</v>
      </c>
      <c r="N168" s="4">
        <v>119.98</v>
      </c>
    </row>
    <row r="169" spans="1:14" ht="15.75" customHeight="1" x14ac:dyDescent="0.3">
      <c r="A169" s="4" t="s">
        <v>314</v>
      </c>
      <c r="B169" s="5">
        <v>45645</v>
      </c>
      <c r="C169" s="4" t="s">
        <v>184</v>
      </c>
      <c r="D169" s="4" t="s">
        <v>185</v>
      </c>
      <c r="E169" s="4" t="s">
        <v>119</v>
      </c>
      <c r="F169" s="4" t="s">
        <v>120</v>
      </c>
      <c r="G169" s="4" t="s">
        <v>21</v>
      </c>
      <c r="H169" s="4">
        <v>1</v>
      </c>
      <c r="I169" s="4">
        <v>89.99</v>
      </c>
      <c r="J169" s="4" t="s">
        <v>59</v>
      </c>
      <c r="K169" s="4" t="s">
        <v>23</v>
      </c>
      <c r="L169" s="4" t="s">
        <v>38</v>
      </c>
      <c r="M169" s="5">
        <v>44760</v>
      </c>
      <c r="N169" s="4">
        <v>89.99</v>
      </c>
    </row>
    <row r="170" spans="1:14" ht="15.75" customHeight="1" x14ac:dyDescent="0.3">
      <c r="A170" s="4" t="s">
        <v>315</v>
      </c>
      <c r="B170" s="5">
        <v>45645</v>
      </c>
      <c r="C170" s="4" t="s">
        <v>149</v>
      </c>
      <c r="D170" s="4" t="s">
        <v>150</v>
      </c>
      <c r="E170" s="4" t="s">
        <v>63</v>
      </c>
      <c r="F170" s="4" t="s">
        <v>64</v>
      </c>
      <c r="G170" s="4" t="s">
        <v>21</v>
      </c>
      <c r="H170" s="4">
        <v>5</v>
      </c>
      <c r="I170" s="4">
        <v>899.99</v>
      </c>
      <c r="J170" s="4" t="s">
        <v>59</v>
      </c>
      <c r="K170" s="4" t="s">
        <v>65</v>
      </c>
      <c r="L170" s="4" t="s">
        <v>38</v>
      </c>
      <c r="M170" s="5">
        <v>44625</v>
      </c>
      <c r="N170" s="4">
        <v>4499.95</v>
      </c>
    </row>
    <row r="171" spans="1:14" ht="15.75" customHeight="1" x14ac:dyDescent="0.3">
      <c r="A171" s="4" t="s">
        <v>316</v>
      </c>
      <c r="B171" s="5">
        <v>45646</v>
      </c>
      <c r="C171" s="4" t="s">
        <v>44</v>
      </c>
      <c r="D171" s="4" t="s">
        <v>45</v>
      </c>
      <c r="E171" s="4" t="s">
        <v>46</v>
      </c>
      <c r="F171" s="4" t="s">
        <v>47</v>
      </c>
      <c r="G171" s="4" t="s">
        <v>48</v>
      </c>
      <c r="H171" s="4">
        <v>2</v>
      </c>
      <c r="I171" s="4">
        <v>149.99</v>
      </c>
      <c r="J171" s="4" t="s">
        <v>22</v>
      </c>
      <c r="K171" s="4" t="s">
        <v>37</v>
      </c>
      <c r="L171" s="4" t="s">
        <v>24</v>
      </c>
      <c r="M171" s="5">
        <v>45239</v>
      </c>
      <c r="N171" s="4">
        <v>299.98</v>
      </c>
    </row>
    <row r="172" spans="1:14" ht="15.75" customHeight="1" x14ac:dyDescent="0.3">
      <c r="A172" s="4" t="s">
        <v>317</v>
      </c>
      <c r="B172" s="5">
        <v>45648</v>
      </c>
      <c r="C172" s="4" t="s">
        <v>114</v>
      </c>
      <c r="D172" s="4" t="s">
        <v>115</v>
      </c>
      <c r="E172" s="4" t="s">
        <v>54</v>
      </c>
      <c r="F172" s="4" t="s">
        <v>55</v>
      </c>
      <c r="G172" s="4" t="s">
        <v>21</v>
      </c>
      <c r="H172" s="4">
        <v>2</v>
      </c>
      <c r="I172" s="4">
        <v>149.99</v>
      </c>
      <c r="J172" s="4" t="s">
        <v>59</v>
      </c>
      <c r="K172" s="4" t="s">
        <v>52</v>
      </c>
      <c r="L172" s="4" t="s">
        <v>29</v>
      </c>
      <c r="M172" s="5">
        <v>45280</v>
      </c>
      <c r="N172" s="4">
        <v>299.98</v>
      </c>
    </row>
    <row r="173" spans="1:14" ht="15.75" customHeight="1" x14ac:dyDescent="0.3">
      <c r="A173" s="4" t="s">
        <v>318</v>
      </c>
      <c r="B173" s="5">
        <v>45648</v>
      </c>
      <c r="C173" s="4" t="s">
        <v>184</v>
      </c>
      <c r="D173" s="4" t="s">
        <v>185</v>
      </c>
      <c r="E173" s="4" t="s">
        <v>46</v>
      </c>
      <c r="F173" s="4" t="s">
        <v>47</v>
      </c>
      <c r="G173" s="4" t="s">
        <v>48</v>
      </c>
      <c r="H173" s="4">
        <v>3</v>
      </c>
      <c r="I173" s="4">
        <v>149.99</v>
      </c>
      <c r="J173" s="4" t="s">
        <v>59</v>
      </c>
      <c r="K173" s="4" t="s">
        <v>42</v>
      </c>
      <c r="L173" s="4" t="s">
        <v>38</v>
      </c>
      <c r="M173" s="5">
        <v>44522</v>
      </c>
      <c r="N173" s="4">
        <v>449.97</v>
      </c>
    </row>
    <row r="174" spans="1:14" ht="15.75" customHeight="1" x14ac:dyDescent="0.3">
      <c r="A174" s="4" t="s">
        <v>319</v>
      </c>
      <c r="B174" s="5">
        <v>45649</v>
      </c>
      <c r="C174" s="4" t="s">
        <v>31</v>
      </c>
      <c r="D174" s="4" t="s">
        <v>32</v>
      </c>
      <c r="E174" s="4" t="s">
        <v>107</v>
      </c>
      <c r="F174" s="4" t="s">
        <v>108</v>
      </c>
      <c r="G174" s="4" t="s">
        <v>48</v>
      </c>
      <c r="H174" s="4">
        <v>2</v>
      </c>
      <c r="I174" s="4">
        <v>299.99</v>
      </c>
      <c r="J174" s="4" t="s">
        <v>36</v>
      </c>
      <c r="K174" s="4" t="s">
        <v>37</v>
      </c>
      <c r="L174" s="4" t="s">
        <v>24</v>
      </c>
      <c r="M174" s="5">
        <v>44721</v>
      </c>
      <c r="N174" s="4">
        <v>599.98</v>
      </c>
    </row>
    <row r="175" spans="1:14" ht="15.75" customHeight="1" x14ac:dyDescent="0.3">
      <c r="A175" s="4" t="s">
        <v>320</v>
      </c>
      <c r="B175" s="5">
        <v>45654</v>
      </c>
      <c r="C175" s="4" t="s">
        <v>44</v>
      </c>
      <c r="D175" s="4" t="s">
        <v>45</v>
      </c>
      <c r="E175" s="4" t="s">
        <v>107</v>
      </c>
      <c r="F175" s="4" t="s">
        <v>108</v>
      </c>
      <c r="G175" s="4" t="s">
        <v>48</v>
      </c>
      <c r="H175" s="4">
        <v>2</v>
      </c>
      <c r="I175" s="4">
        <v>299.99</v>
      </c>
      <c r="J175" s="4" t="s">
        <v>22</v>
      </c>
      <c r="K175" s="4" t="s">
        <v>52</v>
      </c>
      <c r="L175" s="4" t="s">
        <v>24</v>
      </c>
      <c r="M175" s="5">
        <v>44771</v>
      </c>
      <c r="N175" s="4">
        <v>599.98</v>
      </c>
    </row>
    <row r="176" spans="1:14" ht="15.75" customHeight="1" x14ac:dyDescent="0.3">
      <c r="A176" s="4" t="s">
        <v>321</v>
      </c>
      <c r="B176" s="5">
        <v>45654</v>
      </c>
      <c r="C176" s="4" t="s">
        <v>122</v>
      </c>
      <c r="D176" s="4" t="s">
        <v>123</v>
      </c>
      <c r="E176" s="4" t="s">
        <v>128</v>
      </c>
      <c r="F176" s="4" t="s">
        <v>129</v>
      </c>
      <c r="G176" s="4" t="s">
        <v>48</v>
      </c>
      <c r="H176" s="4">
        <v>4</v>
      </c>
      <c r="I176" s="4">
        <v>199.99</v>
      </c>
      <c r="J176" s="4" t="s">
        <v>28</v>
      </c>
      <c r="K176" s="4" t="s">
        <v>23</v>
      </c>
      <c r="L176" s="4" t="s">
        <v>24</v>
      </c>
      <c r="M176" s="5">
        <v>44523</v>
      </c>
      <c r="N176" s="4">
        <v>799.96</v>
      </c>
    </row>
    <row r="177" spans="1:14" ht="15.75" customHeight="1" x14ac:dyDescent="0.3">
      <c r="A177" s="4" t="s">
        <v>322</v>
      </c>
      <c r="B177" s="5">
        <v>45655</v>
      </c>
      <c r="C177" s="4" t="s">
        <v>61</v>
      </c>
      <c r="D177" s="4" t="s">
        <v>62</v>
      </c>
      <c r="E177" s="4" t="s">
        <v>119</v>
      </c>
      <c r="F177" s="4" t="s">
        <v>120</v>
      </c>
      <c r="G177" s="4" t="s">
        <v>21</v>
      </c>
      <c r="H177" s="4">
        <v>1</v>
      </c>
      <c r="I177" s="4">
        <v>89.99</v>
      </c>
      <c r="J177" s="4" t="s">
        <v>28</v>
      </c>
      <c r="K177" s="4" t="s">
        <v>37</v>
      </c>
      <c r="L177" s="4" t="s">
        <v>29</v>
      </c>
      <c r="M177" s="5">
        <v>44591</v>
      </c>
      <c r="N177" s="4">
        <v>89.99</v>
      </c>
    </row>
    <row r="178" spans="1:14" ht="15.75" customHeight="1" x14ac:dyDescent="0.3">
      <c r="A178" s="4" t="s">
        <v>323</v>
      </c>
      <c r="B178" s="5">
        <v>45655</v>
      </c>
      <c r="C178" s="4" t="s">
        <v>110</v>
      </c>
      <c r="D178" s="4" t="s">
        <v>111</v>
      </c>
      <c r="E178" s="4" t="s">
        <v>46</v>
      </c>
      <c r="F178" s="4" t="s">
        <v>47</v>
      </c>
      <c r="G178" s="4" t="s">
        <v>48</v>
      </c>
      <c r="H178" s="4">
        <v>5</v>
      </c>
      <c r="I178" s="4">
        <v>149.99</v>
      </c>
      <c r="J178" s="4" t="s">
        <v>22</v>
      </c>
      <c r="K178" s="4" t="s">
        <v>23</v>
      </c>
      <c r="L178" s="4" t="s">
        <v>29</v>
      </c>
      <c r="M178" s="5">
        <v>45347</v>
      </c>
      <c r="N178" s="4">
        <v>749.95</v>
      </c>
    </row>
    <row r="179" spans="1:14" ht="15.75" customHeight="1" x14ac:dyDescent="0.3">
      <c r="A179" s="4" t="s">
        <v>324</v>
      </c>
      <c r="B179" s="5">
        <v>45657</v>
      </c>
      <c r="C179" s="4" t="s">
        <v>88</v>
      </c>
      <c r="D179" s="4" t="s">
        <v>89</v>
      </c>
      <c r="E179" s="4" t="s">
        <v>63</v>
      </c>
      <c r="F179" s="4" t="s">
        <v>64</v>
      </c>
      <c r="G179" s="4" t="s">
        <v>21</v>
      </c>
      <c r="H179" s="4">
        <v>1</v>
      </c>
      <c r="I179" s="4">
        <v>899.99</v>
      </c>
      <c r="J179" s="4" t="s">
        <v>36</v>
      </c>
      <c r="K179" s="4" t="s">
        <v>42</v>
      </c>
      <c r="L179" s="4" t="s">
        <v>29</v>
      </c>
      <c r="M179" s="5">
        <v>45050</v>
      </c>
      <c r="N179" s="4">
        <v>899.99</v>
      </c>
    </row>
    <row r="180" spans="1:14" ht="15.75" customHeight="1" x14ac:dyDescent="0.3">
      <c r="A180" s="4" t="s">
        <v>325</v>
      </c>
      <c r="B180" s="5">
        <v>45660</v>
      </c>
      <c r="C180" s="4" t="s">
        <v>149</v>
      </c>
      <c r="D180" s="4" t="s">
        <v>150</v>
      </c>
      <c r="E180" s="4" t="s">
        <v>119</v>
      </c>
      <c r="F180" s="4" t="s">
        <v>120</v>
      </c>
      <c r="G180" s="4" t="s">
        <v>21</v>
      </c>
      <c r="H180" s="4">
        <v>2</v>
      </c>
      <c r="I180" s="4">
        <v>89.99</v>
      </c>
      <c r="J180" s="4" t="s">
        <v>28</v>
      </c>
      <c r="K180" s="4" t="s">
        <v>37</v>
      </c>
      <c r="L180" s="4" t="s">
        <v>29</v>
      </c>
      <c r="M180" s="5">
        <v>44564</v>
      </c>
      <c r="N180" s="4">
        <v>179.98</v>
      </c>
    </row>
    <row r="181" spans="1:14" ht="15.75" customHeight="1" x14ac:dyDescent="0.3">
      <c r="A181" s="4" t="s">
        <v>326</v>
      </c>
      <c r="B181" s="5">
        <v>45661</v>
      </c>
      <c r="C181" s="4" t="s">
        <v>327</v>
      </c>
      <c r="D181" s="4" t="s">
        <v>328</v>
      </c>
      <c r="E181" s="4" t="s">
        <v>63</v>
      </c>
      <c r="F181" s="4" t="s">
        <v>64</v>
      </c>
      <c r="G181" s="4" t="s">
        <v>21</v>
      </c>
      <c r="H181" s="4">
        <v>1</v>
      </c>
      <c r="I181" s="4">
        <v>899.99</v>
      </c>
      <c r="J181" s="4" t="s">
        <v>36</v>
      </c>
      <c r="K181" s="4" t="s">
        <v>42</v>
      </c>
      <c r="L181" s="4" t="s">
        <v>38</v>
      </c>
      <c r="M181" s="5">
        <v>44752</v>
      </c>
      <c r="N181" s="4">
        <v>899.99</v>
      </c>
    </row>
    <row r="182" spans="1:14" ht="15.75" customHeight="1" x14ac:dyDescent="0.3">
      <c r="A182" s="4" t="s">
        <v>329</v>
      </c>
      <c r="B182" s="5">
        <v>45663</v>
      </c>
      <c r="C182" s="4" t="s">
        <v>131</v>
      </c>
      <c r="D182" s="4" t="s">
        <v>132</v>
      </c>
      <c r="E182" s="4" t="s">
        <v>54</v>
      </c>
      <c r="F182" s="4" t="s">
        <v>55</v>
      </c>
      <c r="G182" s="4" t="s">
        <v>21</v>
      </c>
      <c r="H182" s="4">
        <v>5</v>
      </c>
      <c r="I182" s="4">
        <v>149.99</v>
      </c>
      <c r="J182" s="4" t="s">
        <v>36</v>
      </c>
      <c r="K182" s="4" t="s">
        <v>65</v>
      </c>
      <c r="L182" s="4" t="s">
        <v>29</v>
      </c>
      <c r="M182" s="5">
        <v>44824</v>
      </c>
      <c r="N182" s="4">
        <v>749.95</v>
      </c>
    </row>
    <row r="183" spans="1:14" ht="15.75" customHeight="1" x14ac:dyDescent="0.3">
      <c r="A183" s="4" t="s">
        <v>330</v>
      </c>
      <c r="B183" s="5">
        <v>45663</v>
      </c>
      <c r="C183" s="4" t="s">
        <v>44</v>
      </c>
      <c r="D183" s="4" t="s">
        <v>45</v>
      </c>
      <c r="E183" s="4" t="s">
        <v>107</v>
      </c>
      <c r="F183" s="4" t="s">
        <v>108</v>
      </c>
      <c r="G183" s="4" t="s">
        <v>48</v>
      </c>
      <c r="H183" s="4">
        <v>3</v>
      </c>
      <c r="I183" s="4">
        <v>299.99</v>
      </c>
      <c r="J183" s="4" t="s">
        <v>22</v>
      </c>
      <c r="K183" s="4" t="s">
        <v>37</v>
      </c>
      <c r="L183" s="4" t="s">
        <v>38</v>
      </c>
      <c r="M183" s="5">
        <v>44422</v>
      </c>
      <c r="N183" s="4">
        <v>899.97</v>
      </c>
    </row>
    <row r="184" spans="1:14" ht="15.75" customHeight="1" x14ac:dyDescent="0.3">
      <c r="A184" s="4" t="s">
        <v>331</v>
      </c>
      <c r="B184" s="5">
        <v>45666</v>
      </c>
      <c r="C184" s="4" t="s">
        <v>67</v>
      </c>
      <c r="D184" s="4" t="s">
        <v>68</v>
      </c>
      <c r="E184" s="4" t="s">
        <v>82</v>
      </c>
      <c r="F184" s="4" t="s">
        <v>83</v>
      </c>
      <c r="G184" s="4" t="s">
        <v>21</v>
      </c>
      <c r="H184" s="4">
        <v>3</v>
      </c>
      <c r="I184" s="4">
        <v>699.99</v>
      </c>
      <c r="J184" s="4" t="s">
        <v>28</v>
      </c>
      <c r="K184" s="4" t="s">
        <v>23</v>
      </c>
      <c r="L184" s="4" t="s">
        <v>29</v>
      </c>
      <c r="M184" s="5">
        <v>45105</v>
      </c>
      <c r="N184" s="4">
        <v>2099.9699999999998</v>
      </c>
    </row>
    <row r="185" spans="1:14" ht="15.75" customHeight="1" x14ac:dyDescent="0.3">
      <c r="A185" s="4" t="s">
        <v>332</v>
      </c>
      <c r="B185" s="5">
        <v>45667</v>
      </c>
      <c r="C185" s="4" t="s">
        <v>110</v>
      </c>
      <c r="D185" s="4" t="s">
        <v>111</v>
      </c>
      <c r="E185" s="4" t="s">
        <v>128</v>
      </c>
      <c r="F185" s="4" t="s">
        <v>129</v>
      </c>
      <c r="G185" s="4" t="s">
        <v>48</v>
      </c>
      <c r="H185" s="4">
        <v>5</v>
      </c>
      <c r="I185" s="4">
        <v>199.99</v>
      </c>
      <c r="J185" s="4" t="s">
        <v>36</v>
      </c>
      <c r="K185" s="4" t="s">
        <v>23</v>
      </c>
      <c r="L185" s="4" t="s">
        <v>38</v>
      </c>
      <c r="M185" s="5">
        <v>44633</v>
      </c>
      <c r="N185" s="4">
        <v>999.95</v>
      </c>
    </row>
    <row r="186" spans="1:14" ht="15.75" customHeight="1" x14ac:dyDescent="0.3">
      <c r="A186" s="4" t="s">
        <v>333</v>
      </c>
      <c r="B186" s="5">
        <v>45667</v>
      </c>
      <c r="C186" s="4" t="s">
        <v>95</v>
      </c>
      <c r="D186" s="4" t="s">
        <v>96</v>
      </c>
      <c r="E186" s="4" t="s">
        <v>19</v>
      </c>
      <c r="F186" s="4" t="s">
        <v>20</v>
      </c>
      <c r="G186" s="4" t="s">
        <v>21</v>
      </c>
      <c r="H186" s="4">
        <v>5</v>
      </c>
      <c r="I186" s="4">
        <v>249.99</v>
      </c>
      <c r="J186" s="4" t="s">
        <v>28</v>
      </c>
      <c r="K186" s="4" t="s">
        <v>37</v>
      </c>
      <c r="L186" s="4" t="s">
        <v>24</v>
      </c>
      <c r="M186" s="5">
        <v>45330</v>
      </c>
      <c r="N186" s="4">
        <v>1249.95</v>
      </c>
    </row>
    <row r="187" spans="1:14" ht="15.75" customHeight="1" x14ac:dyDescent="0.3">
      <c r="A187" s="4" t="s">
        <v>334</v>
      </c>
      <c r="B187" s="5">
        <v>45668</v>
      </c>
      <c r="C187" s="4" t="s">
        <v>140</v>
      </c>
      <c r="D187" s="4" t="s">
        <v>141</v>
      </c>
      <c r="E187" s="4" t="s">
        <v>54</v>
      </c>
      <c r="F187" s="4" t="s">
        <v>55</v>
      </c>
      <c r="G187" s="4" t="s">
        <v>21</v>
      </c>
      <c r="H187" s="4">
        <v>4</v>
      </c>
      <c r="I187" s="4">
        <v>149.99</v>
      </c>
      <c r="J187" s="4" t="s">
        <v>59</v>
      </c>
      <c r="K187" s="4" t="s">
        <v>65</v>
      </c>
      <c r="L187" s="4" t="s">
        <v>38</v>
      </c>
      <c r="M187" s="5">
        <v>44536</v>
      </c>
      <c r="N187" s="4">
        <v>599.96</v>
      </c>
    </row>
    <row r="188" spans="1:14" ht="15.75" customHeight="1" x14ac:dyDescent="0.3">
      <c r="A188" s="4" t="s">
        <v>335</v>
      </c>
      <c r="B188" s="5">
        <v>45668</v>
      </c>
      <c r="C188" s="4" t="s">
        <v>80</v>
      </c>
      <c r="D188" s="4" t="s">
        <v>81</v>
      </c>
      <c r="E188" s="4" t="s">
        <v>82</v>
      </c>
      <c r="F188" s="4" t="s">
        <v>83</v>
      </c>
      <c r="G188" s="4" t="s">
        <v>21</v>
      </c>
      <c r="H188" s="4">
        <v>3</v>
      </c>
      <c r="I188" s="4">
        <v>699.99</v>
      </c>
      <c r="J188" s="4" t="s">
        <v>22</v>
      </c>
      <c r="K188" s="4" t="s">
        <v>42</v>
      </c>
      <c r="L188" s="4" t="s">
        <v>29</v>
      </c>
      <c r="M188" s="5">
        <v>44602</v>
      </c>
      <c r="N188" s="4">
        <v>2099.9699999999998</v>
      </c>
    </row>
    <row r="189" spans="1:14" ht="15.75" customHeight="1" x14ac:dyDescent="0.3">
      <c r="A189" s="4" t="s">
        <v>336</v>
      </c>
      <c r="B189" s="5">
        <v>45670</v>
      </c>
      <c r="C189" s="4" t="s">
        <v>295</v>
      </c>
      <c r="D189" s="4" t="s">
        <v>296</v>
      </c>
      <c r="E189" s="4" t="s">
        <v>116</v>
      </c>
      <c r="F189" s="4" t="s">
        <v>117</v>
      </c>
      <c r="G189" s="4" t="s">
        <v>35</v>
      </c>
      <c r="H189" s="4">
        <v>1</v>
      </c>
      <c r="I189" s="4">
        <v>79.989999999999995</v>
      </c>
      <c r="J189" s="4" t="s">
        <v>28</v>
      </c>
      <c r="K189" s="4" t="s">
        <v>37</v>
      </c>
      <c r="L189" s="4" t="s">
        <v>24</v>
      </c>
      <c r="M189" s="5">
        <v>45322</v>
      </c>
      <c r="N189" s="4">
        <v>79.989999999999995</v>
      </c>
    </row>
    <row r="190" spans="1:14" ht="15.75" customHeight="1" x14ac:dyDescent="0.3">
      <c r="A190" s="4" t="s">
        <v>337</v>
      </c>
      <c r="B190" s="5">
        <v>45670</v>
      </c>
      <c r="C190" s="4" t="s">
        <v>88</v>
      </c>
      <c r="D190" s="4" t="s">
        <v>89</v>
      </c>
      <c r="E190" s="4" t="s">
        <v>107</v>
      </c>
      <c r="F190" s="4" t="s">
        <v>108</v>
      </c>
      <c r="G190" s="4" t="s">
        <v>48</v>
      </c>
      <c r="H190" s="4">
        <v>1</v>
      </c>
      <c r="I190" s="4">
        <v>299.99</v>
      </c>
      <c r="J190" s="4" t="s">
        <v>28</v>
      </c>
      <c r="K190" s="4" t="s">
        <v>42</v>
      </c>
      <c r="L190" s="4" t="s">
        <v>24</v>
      </c>
      <c r="M190" s="5">
        <v>44436</v>
      </c>
      <c r="N190" s="4">
        <v>299.99</v>
      </c>
    </row>
    <row r="191" spans="1:14" ht="15.75" customHeight="1" x14ac:dyDescent="0.3">
      <c r="A191" s="4" t="s">
        <v>338</v>
      </c>
      <c r="B191" s="5">
        <v>45671</v>
      </c>
      <c r="C191" s="4" t="s">
        <v>160</v>
      </c>
      <c r="D191" s="4" t="s">
        <v>161</v>
      </c>
      <c r="E191" s="4" t="s">
        <v>19</v>
      </c>
      <c r="F191" s="4" t="s">
        <v>20</v>
      </c>
      <c r="G191" s="4" t="s">
        <v>21</v>
      </c>
      <c r="H191" s="4">
        <v>4</v>
      </c>
      <c r="I191" s="4">
        <v>249.99</v>
      </c>
      <c r="J191" s="4" t="s">
        <v>28</v>
      </c>
      <c r="K191" s="4" t="s">
        <v>42</v>
      </c>
      <c r="L191" s="4" t="s">
        <v>29</v>
      </c>
      <c r="M191" s="5">
        <v>44460</v>
      </c>
      <c r="N191" s="4">
        <v>999.96</v>
      </c>
    </row>
    <row r="192" spans="1:14" ht="15.75" customHeight="1" x14ac:dyDescent="0.3">
      <c r="A192" s="4" t="s">
        <v>339</v>
      </c>
      <c r="B192" s="5">
        <v>45671</v>
      </c>
      <c r="C192" s="4" t="s">
        <v>122</v>
      </c>
      <c r="D192" s="4" t="s">
        <v>123</v>
      </c>
      <c r="E192" s="4" t="s">
        <v>54</v>
      </c>
      <c r="F192" s="4" t="s">
        <v>55</v>
      </c>
      <c r="G192" s="4" t="s">
        <v>21</v>
      </c>
      <c r="H192" s="4">
        <v>2</v>
      </c>
      <c r="I192" s="4">
        <v>149.99</v>
      </c>
      <c r="J192" s="4" t="s">
        <v>22</v>
      </c>
      <c r="K192" s="4" t="s">
        <v>42</v>
      </c>
      <c r="L192" s="4" t="s">
        <v>38</v>
      </c>
      <c r="M192" s="5">
        <v>44913</v>
      </c>
      <c r="N192" s="4">
        <v>299.98</v>
      </c>
    </row>
    <row r="193" spans="1:14" ht="15.75" customHeight="1" x14ac:dyDescent="0.3">
      <c r="A193" s="4" t="s">
        <v>340</v>
      </c>
      <c r="B193" s="5">
        <v>45671</v>
      </c>
      <c r="C193" s="4" t="s">
        <v>236</v>
      </c>
      <c r="D193" s="4" t="s">
        <v>237</v>
      </c>
      <c r="E193" s="4" t="s">
        <v>107</v>
      </c>
      <c r="F193" s="4" t="s">
        <v>108</v>
      </c>
      <c r="G193" s="4" t="s">
        <v>48</v>
      </c>
      <c r="H193" s="4">
        <v>3</v>
      </c>
      <c r="I193" s="4">
        <v>299.99</v>
      </c>
      <c r="J193" s="4" t="s">
        <v>28</v>
      </c>
      <c r="K193" s="4" t="s">
        <v>37</v>
      </c>
      <c r="L193" s="4" t="s">
        <v>24</v>
      </c>
      <c r="M193" s="5">
        <v>45204</v>
      </c>
      <c r="N193" s="4">
        <v>899.97</v>
      </c>
    </row>
    <row r="194" spans="1:14" ht="15.75" customHeight="1" x14ac:dyDescent="0.3">
      <c r="A194" s="4" t="s">
        <v>341</v>
      </c>
      <c r="B194" s="5">
        <v>45673</v>
      </c>
      <c r="C194" s="4" t="s">
        <v>228</v>
      </c>
      <c r="D194" s="4" t="s">
        <v>229</v>
      </c>
      <c r="E194" s="4" t="s">
        <v>128</v>
      </c>
      <c r="F194" s="4" t="s">
        <v>129</v>
      </c>
      <c r="G194" s="4" t="s">
        <v>48</v>
      </c>
      <c r="H194" s="4">
        <v>4</v>
      </c>
      <c r="I194" s="4">
        <v>199.99</v>
      </c>
      <c r="J194" s="4" t="s">
        <v>59</v>
      </c>
      <c r="K194" s="4" t="s">
        <v>37</v>
      </c>
      <c r="L194" s="4" t="s">
        <v>38</v>
      </c>
      <c r="M194" s="5">
        <v>44544</v>
      </c>
      <c r="N194" s="4">
        <v>799.96</v>
      </c>
    </row>
    <row r="195" spans="1:14" ht="15.75" customHeight="1" x14ac:dyDescent="0.3">
      <c r="A195" s="4" t="s">
        <v>342</v>
      </c>
      <c r="B195" s="5">
        <v>45673</v>
      </c>
      <c r="C195" s="4" t="s">
        <v>213</v>
      </c>
      <c r="D195" s="4" t="s">
        <v>214</v>
      </c>
      <c r="E195" s="4" t="s">
        <v>107</v>
      </c>
      <c r="F195" s="4" t="s">
        <v>108</v>
      </c>
      <c r="G195" s="4" t="s">
        <v>48</v>
      </c>
      <c r="H195" s="4">
        <v>5</v>
      </c>
      <c r="I195" s="4">
        <v>299.99</v>
      </c>
      <c r="J195" s="4" t="s">
        <v>59</v>
      </c>
      <c r="K195" s="4" t="s">
        <v>23</v>
      </c>
      <c r="L195" s="4" t="s">
        <v>24</v>
      </c>
      <c r="M195" s="5">
        <v>44431</v>
      </c>
      <c r="N195" s="4">
        <v>1499.95</v>
      </c>
    </row>
    <row r="196" spans="1:14" ht="15.75" customHeight="1" x14ac:dyDescent="0.3">
      <c r="A196" s="4" t="s">
        <v>343</v>
      </c>
      <c r="B196" s="5">
        <v>45673</v>
      </c>
      <c r="C196" s="4" t="s">
        <v>61</v>
      </c>
      <c r="D196" s="4" t="s">
        <v>62</v>
      </c>
      <c r="E196" s="4" t="s">
        <v>46</v>
      </c>
      <c r="F196" s="4" t="s">
        <v>47</v>
      </c>
      <c r="G196" s="4" t="s">
        <v>48</v>
      </c>
      <c r="H196" s="4">
        <v>3</v>
      </c>
      <c r="I196" s="4">
        <v>149.99</v>
      </c>
      <c r="J196" s="4" t="s">
        <v>28</v>
      </c>
      <c r="K196" s="4" t="s">
        <v>65</v>
      </c>
      <c r="L196" s="4" t="s">
        <v>38</v>
      </c>
      <c r="M196" s="5">
        <v>44395</v>
      </c>
      <c r="N196" s="4">
        <v>449.97</v>
      </c>
    </row>
    <row r="197" spans="1:14" ht="15.75" customHeight="1" x14ac:dyDescent="0.3">
      <c r="A197" s="4" t="s">
        <v>344</v>
      </c>
      <c r="B197" s="5">
        <v>45676</v>
      </c>
      <c r="C197" s="4" t="s">
        <v>131</v>
      </c>
      <c r="D197" s="4" t="s">
        <v>132</v>
      </c>
      <c r="E197" s="4" t="s">
        <v>33</v>
      </c>
      <c r="F197" s="4" t="s">
        <v>34</v>
      </c>
      <c r="G197" s="4" t="s">
        <v>35</v>
      </c>
      <c r="H197" s="4">
        <v>5</v>
      </c>
      <c r="I197" s="4">
        <v>59.99</v>
      </c>
      <c r="J197" s="4" t="s">
        <v>59</v>
      </c>
      <c r="K197" s="4" t="s">
        <v>65</v>
      </c>
      <c r="L197" s="4" t="s">
        <v>24</v>
      </c>
      <c r="M197" s="5">
        <v>44642</v>
      </c>
      <c r="N197" s="4">
        <v>299.95</v>
      </c>
    </row>
    <row r="198" spans="1:14" ht="15.75" customHeight="1" x14ac:dyDescent="0.3">
      <c r="A198" s="4" t="s">
        <v>345</v>
      </c>
      <c r="B198" s="5">
        <v>45682</v>
      </c>
      <c r="C198" s="4" t="s">
        <v>70</v>
      </c>
      <c r="D198" s="4" t="s">
        <v>71</v>
      </c>
      <c r="E198" s="4" t="s">
        <v>33</v>
      </c>
      <c r="F198" s="4" t="s">
        <v>34</v>
      </c>
      <c r="G198" s="4" t="s">
        <v>35</v>
      </c>
      <c r="H198" s="4">
        <v>4</v>
      </c>
      <c r="I198" s="4">
        <v>59.99</v>
      </c>
      <c r="J198" s="4" t="s">
        <v>59</v>
      </c>
      <c r="K198" s="4" t="s">
        <v>65</v>
      </c>
      <c r="L198" s="4" t="s">
        <v>38</v>
      </c>
      <c r="M198" s="5">
        <v>44564</v>
      </c>
      <c r="N198" s="4">
        <v>239.96</v>
      </c>
    </row>
    <row r="199" spans="1:14" ht="15.75" customHeight="1" x14ac:dyDescent="0.3">
      <c r="A199" s="4" t="s">
        <v>346</v>
      </c>
      <c r="B199" s="5">
        <v>45683</v>
      </c>
      <c r="C199" s="4" t="s">
        <v>50</v>
      </c>
      <c r="D199" s="4" t="s">
        <v>51</v>
      </c>
      <c r="E199" s="4" t="s">
        <v>19</v>
      </c>
      <c r="F199" s="4" t="s">
        <v>20</v>
      </c>
      <c r="G199" s="4" t="s">
        <v>21</v>
      </c>
      <c r="H199" s="4">
        <v>4</v>
      </c>
      <c r="I199" s="4">
        <v>249.99</v>
      </c>
      <c r="J199" s="4" t="s">
        <v>59</v>
      </c>
      <c r="K199" s="4" t="s">
        <v>23</v>
      </c>
      <c r="L199" s="4" t="s">
        <v>29</v>
      </c>
      <c r="M199" s="5">
        <v>45217</v>
      </c>
      <c r="N199" s="4">
        <v>999.96</v>
      </c>
    </row>
    <row r="200" spans="1:14" ht="15.75" customHeight="1" x14ac:dyDescent="0.3">
      <c r="A200" s="4" t="s">
        <v>347</v>
      </c>
      <c r="B200" s="5">
        <v>45686</v>
      </c>
      <c r="C200" s="4" t="s">
        <v>254</v>
      </c>
      <c r="D200" s="4" t="s">
        <v>255</v>
      </c>
      <c r="E200" s="4" t="s">
        <v>63</v>
      </c>
      <c r="F200" s="4" t="s">
        <v>64</v>
      </c>
      <c r="G200" s="4" t="s">
        <v>21</v>
      </c>
      <c r="H200" s="4">
        <v>4</v>
      </c>
      <c r="I200" s="4">
        <v>899.99</v>
      </c>
      <c r="J200" s="4" t="s">
        <v>36</v>
      </c>
      <c r="K200" s="4" t="s">
        <v>23</v>
      </c>
      <c r="L200" s="4" t="s">
        <v>24</v>
      </c>
      <c r="M200" s="5">
        <v>44734</v>
      </c>
      <c r="N200" s="4">
        <v>3599.96</v>
      </c>
    </row>
    <row r="201" spans="1:14" ht="15.75" customHeight="1" x14ac:dyDescent="0.3">
      <c r="A201" s="4" t="s">
        <v>348</v>
      </c>
      <c r="B201" s="5">
        <v>45686</v>
      </c>
      <c r="C201" s="4" t="s">
        <v>88</v>
      </c>
      <c r="D201" s="4" t="s">
        <v>89</v>
      </c>
      <c r="E201" s="4" t="s">
        <v>107</v>
      </c>
      <c r="F201" s="4" t="s">
        <v>108</v>
      </c>
      <c r="G201" s="4" t="s">
        <v>48</v>
      </c>
      <c r="H201" s="4">
        <v>3</v>
      </c>
      <c r="I201" s="4">
        <v>299.99</v>
      </c>
      <c r="J201" s="4" t="s">
        <v>59</v>
      </c>
      <c r="K201" s="4" t="s">
        <v>52</v>
      </c>
      <c r="L201" s="4" t="s">
        <v>38</v>
      </c>
      <c r="M201" s="5">
        <v>44952</v>
      </c>
      <c r="N201" s="4">
        <v>899.97</v>
      </c>
    </row>
    <row r="202" spans="1:14" ht="15.75" customHeight="1" x14ac:dyDescent="0.3">
      <c r="A202" s="4" t="s">
        <v>349</v>
      </c>
      <c r="B202" s="5">
        <v>45686</v>
      </c>
      <c r="C202" s="4" t="s">
        <v>295</v>
      </c>
      <c r="D202" s="4" t="s">
        <v>296</v>
      </c>
      <c r="E202" s="4" t="s">
        <v>82</v>
      </c>
      <c r="F202" s="4" t="s">
        <v>83</v>
      </c>
      <c r="G202" s="4" t="s">
        <v>21</v>
      </c>
      <c r="H202" s="4">
        <v>2</v>
      </c>
      <c r="I202" s="4">
        <v>699.99</v>
      </c>
      <c r="J202" s="4" t="s">
        <v>59</v>
      </c>
      <c r="K202" s="4" t="s">
        <v>23</v>
      </c>
      <c r="L202" s="4" t="s">
        <v>29</v>
      </c>
      <c r="M202" s="5">
        <v>44681</v>
      </c>
      <c r="N202" s="4">
        <v>1399.98</v>
      </c>
    </row>
    <row r="203" spans="1:14" ht="15.75" customHeight="1" x14ac:dyDescent="0.3">
      <c r="A203" s="4" t="s">
        <v>350</v>
      </c>
      <c r="B203" s="5">
        <v>45688</v>
      </c>
      <c r="C203" s="4" t="s">
        <v>67</v>
      </c>
      <c r="D203" s="4" t="s">
        <v>68</v>
      </c>
      <c r="E203" s="4" t="s">
        <v>82</v>
      </c>
      <c r="F203" s="4" t="s">
        <v>83</v>
      </c>
      <c r="G203" s="4" t="s">
        <v>21</v>
      </c>
      <c r="H203" s="4">
        <v>4</v>
      </c>
      <c r="I203" s="4">
        <v>699.99</v>
      </c>
      <c r="J203" s="4" t="s">
        <v>59</v>
      </c>
      <c r="K203" s="4" t="s">
        <v>52</v>
      </c>
      <c r="L203" s="4" t="s">
        <v>29</v>
      </c>
      <c r="M203" s="5">
        <v>44692</v>
      </c>
      <c r="N203" s="4">
        <v>2799.96</v>
      </c>
    </row>
    <row r="204" spans="1:14" ht="15.75" customHeight="1" x14ac:dyDescent="0.3">
      <c r="A204" s="4" t="s">
        <v>351</v>
      </c>
      <c r="B204" s="5">
        <v>45688</v>
      </c>
      <c r="C204" s="4" t="s">
        <v>125</v>
      </c>
      <c r="D204" s="4" t="s">
        <v>126</v>
      </c>
      <c r="E204" s="4" t="s">
        <v>119</v>
      </c>
      <c r="F204" s="4" t="s">
        <v>120</v>
      </c>
      <c r="G204" s="4" t="s">
        <v>21</v>
      </c>
      <c r="H204" s="4">
        <v>2</v>
      </c>
      <c r="I204" s="4">
        <v>89.99</v>
      </c>
      <c r="J204" s="4" t="s">
        <v>59</v>
      </c>
      <c r="K204" s="4" t="s">
        <v>37</v>
      </c>
      <c r="L204" s="4" t="s">
        <v>24</v>
      </c>
      <c r="M204" s="5">
        <v>44777</v>
      </c>
      <c r="N204" s="4">
        <v>179.98</v>
      </c>
    </row>
    <row r="205" spans="1:14" ht="15.75" customHeight="1" x14ac:dyDescent="0.3">
      <c r="A205" s="4" t="s">
        <v>352</v>
      </c>
      <c r="B205" s="5">
        <v>45688</v>
      </c>
      <c r="C205" s="4" t="s">
        <v>44</v>
      </c>
      <c r="D205" s="4" t="s">
        <v>45</v>
      </c>
      <c r="E205" s="4" t="s">
        <v>119</v>
      </c>
      <c r="F205" s="4" t="s">
        <v>120</v>
      </c>
      <c r="G205" s="4" t="s">
        <v>21</v>
      </c>
      <c r="H205" s="4">
        <v>3</v>
      </c>
      <c r="I205" s="4">
        <v>89.99</v>
      </c>
      <c r="J205" s="4" t="s">
        <v>59</v>
      </c>
      <c r="K205" s="4" t="s">
        <v>37</v>
      </c>
      <c r="L205" s="4" t="s">
        <v>29</v>
      </c>
      <c r="M205" s="5">
        <v>45307</v>
      </c>
      <c r="N205" s="4">
        <v>269.97000000000003</v>
      </c>
    </row>
    <row r="206" spans="1:14" ht="15.75" customHeight="1" x14ac:dyDescent="0.3">
      <c r="A206" s="4" t="s">
        <v>353</v>
      </c>
      <c r="B206" s="5">
        <v>45692</v>
      </c>
      <c r="C206" s="4" t="s">
        <v>327</v>
      </c>
      <c r="D206" s="4" t="s">
        <v>328</v>
      </c>
      <c r="E206" s="4" t="s">
        <v>33</v>
      </c>
      <c r="F206" s="4" t="s">
        <v>34</v>
      </c>
      <c r="G206" s="4" t="s">
        <v>35</v>
      </c>
      <c r="H206" s="4">
        <v>1</v>
      </c>
      <c r="I206" s="4">
        <v>59.99</v>
      </c>
      <c r="J206" s="4" t="s">
        <v>59</v>
      </c>
      <c r="K206" s="4" t="s">
        <v>23</v>
      </c>
      <c r="L206" s="4" t="s">
        <v>38</v>
      </c>
      <c r="M206" s="5">
        <v>45045</v>
      </c>
      <c r="N206" s="4">
        <v>59.99</v>
      </c>
    </row>
    <row r="207" spans="1:14" ht="15.75" customHeight="1" x14ac:dyDescent="0.3">
      <c r="A207" s="4" t="s">
        <v>354</v>
      </c>
      <c r="B207" s="5">
        <v>45695</v>
      </c>
      <c r="C207" s="4" t="s">
        <v>248</v>
      </c>
      <c r="D207" s="4" t="s">
        <v>249</v>
      </c>
      <c r="E207" s="4" t="s">
        <v>46</v>
      </c>
      <c r="F207" s="4" t="s">
        <v>47</v>
      </c>
      <c r="G207" s="4" t="s">
        <v>48</v>
      </c>
      <c r="H207" s="4">
        <v>3</v>
      </c>
      <c r="I207" s="4">
        <v>149.99</v>
      </c>
      <c r="J207" s="4" t="s">
        <v>59</v>
      </c>
      <c r="K207" s="4" t="s">
        <v>42</v>
      </c>
      <c r="L207" s="4" t="s">
        <v>29</v>
      </c>
      <c r="M207" s="5">
        <v>44564</v>
      </c>
      <c r="N207" s="4">
        <v>449.97</v>
      </c>
    </row>
    <row r="208" spans="1:14" ht="15.75" customHeight="1" x14ac:dyDescent="0.3">
      <c r="A208" s="4" t="s">
        <v>355</v>
      </c>
      <c r="B208" s="5">
        <v>45695</v>
      </c>
      <c r="C208" s="4" t="s">
        <v>95</v>
      </c>
      <c r="D208" s="4" t="s">
        <v>96</v>
      </c>
      <c r="E208" s="4" t="s">
        <v>107</v>
      </c>
      <c r="F208" s="4" t="s">
        <v>108</v>
      </c>
      <c r="G208" s="4" t="s">
        <v>48</v>
      </c>
      <c r="H208" s="4">
        <v>5</v>
      </c>
      <c r="I208" s="4">
        <v>299.99</v>
      </c>
      <c r="J208" s="4" t="s">
        <v>28</v>
      </c>
      <c r="K208" s="4" t="s">
        <v>37</v>
      </c>
      <c r="L208" s="4" t="s">
        <v>24</v>
      </c>
      <c r="M208" s="5">
        <v>44959</v>
      </c>
      <c r="N208" s="4">
        <v>1499.95</v>
      </c>
    </row>
    <row r="209" spans="1:14" ht="15.75" customHeight="1" x14ac:dyDescent="0.3">
      <c r="A209" s="4" t="s">
        <v>356</v>
      </c>
      <c r="B209" s="5">
        <v>45696</v>
      </c>
      <c r="C209" s="4" t="s">
        <v>152</v>
      </c>
      <c r="D209" s="4" t="s">
        <v>153</v>
      </c>
      <c r="E209" s="4" t="s">
        <v>33</v>
      </c>
      <c r="F209" s="4" t="s">
        <v>34</v>
      </c>
      <c r="G209" s="4" t="s">
        <v>35</v>
      </c>
      <c r="H209" s="4">
        <v>5</v>
      </c>
      <c r="I209" s="4">
        <v>59.99</v>
      </c>
      <c r="J209" s="4" t="s">
        <v>59</v>
      </c>
      <c r="K209" s="4" t="s">
        <v>23</v>
      </c>
      <c r="L209" s="4" t="s">
        <v>38</v>
      </c>
      <c r="M209" s="5">
        <v>45177</v>
      </c>
      <c r="N209" s="4">
        <v>299.95</v>
      </c>
    </row>
    <row r="210" spans="1:14" ht="15.75" customHeight="1" x14ac:dyDescent="0.3">
      <c r="A210" s="4" t="s">
        <v>357</v>
      </c>
      <c r="B210" s="5">
        <v>45701</v>
      </c>
      <c r="C210" s="4" t="s">
        <v>110</v>
      </c>
      <c r="D210" s="4" t="s">
        <v>111</v>
      </c>
      <c r="E210" s="4" t="s">
        <v>116</v>
      </c>
      <c r="F210" s="4" t="s">
        <v>117</v>
      </c>
      <c r="G210" s="4" t="s">
        <v>35</v>
      </c>
      <c r="H210" s="4">
        <v>3</v>
      </c>
      <c r="I210" s="4">
        <v>79.989999999999995</v>
      </c>
      <c r="J210" s="4" t="s">
        <v>22</v>
      </c>
      <c r="K210" s="4" t="s">
        <v>65</v>
      </c>
      <c r="L210" s="4" t="s">
        <v>29</v>
      </c>
      <c r="M210" s="5">
        <v>44436</v>
      </c>
      <c r="N210" s="4">
        <v>239.97</v>
      </c>
    </row>
    <row r="211" spans="1:14" ht="15.75" customHeight="1" x14ac:dyDescent="0.3">
      <c r="A211" s="4" t="s">
        <v>358</v>
      </c>
      <c r="B211" s="5">
        <v>45704</v>
      </c>
      <c r="C211" s="4" t="s">
        <v>31</v>
      </c>
      <c r="D211" s="4" t="s">
        <v>32</v>
      </c>
      <c r="E211" s="4" t="s">
        <v>128</v>
      </c>
      <c r="F211" s="4" t="s">
        <v>129</v>
      </c>
      <c r="G211" s="4" t="s">
        <v>48</v>
      </c>
      <c r="H211" s="4">
        <v>3</v>
      </c>
      <c r="I211" s="4">
        <v>199.99</v>
      </c>
      <c r="J211" s="4" t="s">
        <v>22</v>
      </c>
      <c r="K211" s="4" t="s">
        <v>23</v>
      </c>
      <c r="L211" s="4" t="s">
        <v>24</v>
      </c>
      <c r="M211" s="5">
        <v>44735</v>
      </c>
      <c r="N211" s="4">
        <v>599.97</v>
      </c>
    </row>
    <row r="212" spans="1:14" ht="15.75" customHeight="1" x14ac:dyDescent="0.3">
      <c r="A212" s="4" t="s">
        <v>359</v>
      </c>
      <c r="B212" s="5">
        <v>45704</v>
      </c>
      <c r="C212" s="4" t="s">
        <v>17</v>
      </c>
      <c r="D212" s="4" t="s">
        <v>18</v>
      </c>
      <c r="E212" s="4" t="s">
        <v>119</v>
      </c>
      <c r="F212" s="4" t="s">
        <v>120</v>
      </c>
      <c r="G212" s="4" t="s">
        <v>21</v>
      </c>
      <c r="H212" s="4">
        <v>2</v>
      </c>
      <c r="I212" s="4">
        <v>89.99</v>
      </c>
      <c r="J212" s="4" t="s">
        <v>36</v>
      </c>
      <c r="K212" s="4" t="s">
        <v>23</v>
      </c>
      <c r="L212" s="4" t="s">
        <v>24</v>
      </c>
      <c r="M212" s="5">
        <v>45257</v>
      </c>
      <c r="N212" s="4">
        <v>179.98</v>
      </c>
    </row>
    <row r="213" spans="1:14" ht="15.75" customHeight="1" x14ac:dyDescent="0.3">
      <c r="A213" s="4" t="s">
        <v>360</v>
      </c>
      <c r="B213" s="5">
        <v>45705</v>
      </c>
      <c r="C213" s="4" t="s">
        <v>261</v>
      </c>
      <c r="D213" s="4" t="s">
        <v>262</v>
      </c>
      <c r="E213" s="4" t="s">
        <v>46</v>
      </c>
      <c r="F213" s="4" t="s">
        <v>47</v>
      </c>
      <c r="G213" s="4" t="s">
        <v>48</v>
      </c>
      <c r="H213" s="4">
        <v>2</v>
      </c>
      <c r="I213" s="4">
        <v>149.99</v>
      </c>
      <c r="J213" s="4" t="s">
        <v>22</v>
      </c>
      <c r="K213" s="4" t="s">
        <v>37</v>
      </c>
      <c r="L213" s="4" t="s">
        <v>29</v>
      </c>
      <c r="M213" s="5">
        <v>44728</v>
      </c>
      <c r="N213" s="4">
        <v>299.98</v>
      </c>
    </row>
    <row r="214" spans="1:14" ht="15.75" customHeight="1" x14ac:dyDescent="0.3">
      <c r="A214" s="4" t="s">
        <v>361</v>
      </c>
      <c r="B214" s="5">
        <v>45707</v>
      </c>
      <c r="C214" s="4" t="s">
        <v>125</v>
      </c>
      <c r="D214" s="4" t="s">
        <v>126</v>
      </c>
      <c r="E214" s="4" t="s">
        <v>82</v>
      </c>
      <c r="F214" s="4" t="s">
        <v>83</v>
      </c>
      <c r="G214" s="4" t="s">
        <v>21</v>
      </c>
      <c r="H214" s="4">
        <v>5</v>
      </c>
      <c r="I214" s="4">
        <v>699.99</v>
      </c>
      <c r="J214" s="4" t="s">
        <v>36</v>
      </c>
      <c r="K214" s="4" t="s">
        <v>37</v>
      </c>
      <c r="L214" s="4" t="s">
        <v>29</v>
      </c>
      <c r="M214" s="5">
        <v>45352</v>
      </c>
      <c r="N214" s="4">
        <v>3499.95</v>
      </c>
    </row>
    <row r="215" spans="1:14" ht="15.75" customHeight="1" x14ac:dyDescent="0.3">
      <c r="A215" s="4" t="s">
        <v>362</v>
      </c>
      <c r="B215" s="5">
        <v>45707</v>
      </c>
      <c r="C215" s="4" t="s">
        <v>44</v>
      </c>
      <c r="D215" s="4" t="s">
        <v>45</v>
      </c>
      <c r="E215" s="4" t="s">
        <v>46</v>
      </c>
      <c r="F215" s="4" t="s">
        <v>47</v>
      </c>
      <c r="G215" s="4" t="s">
        <v>48</v>
      </c>
      <c r="H215" s="4">
        <v>3</v>
      </c>
      <c r="I215" s="4">
        <v>149.99</v>
      </c>
      <c r="J215" s="4" t="s">
        <v>36</v>
      </c>
      <c r="K215" s="4" t="s">
        <v>23</v>
      </c>
      <c r="L215" s="4" t="s">
        <v>38</v>
      </c>
      <c r="M215" s="5">
        <v>44633</v>
      </c>
      <c r="N215" s="4">
        <v>449.97</v>
      </c>
    </row>
    <row r="216" spans="1:14" ht="15.75" customHeight="1" x14ac:dyDescent="0.3">
      <c r="A216" s="4" t="s">
        <v>363</v>
      </c>
      <c r="B216" s="5">
        <v>45708</v>
      </c>
      <c r="C216" s="4" t="s">
        <v>98</v>
      </c>
      <c r="D216" s="4" t="s">
        <v>99</v>
      </c>
      <c r="E216" s="4" t="s">
        <v>63</v>
      </c>
      <c r="F216" s="4" t="s">
        <v>64</v>
      </c>
      <c r="G216" s="4" t="s">
        <v>21</v>
      </c>
      <c r="H216" s="4">
        <v>3</v>
      </c>
      <c r="I216" s="4">
        <v>899.99</v>
      </c>
      <c r="J216" s="4" t="s">
        <v>22</v>
      </c>
      <c r="K216" s="4" t="s">
        <v>65</v>
      </c>
      <c r="L216" s="4" t="s">
        <v>38</v>
      </c>
      <c r="M216" s="5">
        <v>44613</v>
      </c>
      <c r="N216" s="4">
        <v>2699.97</v>
      </c>
    </row>
    <row r="217" spans="1:14" ht="15.75" customHeight="1" x14ac:dyDescent="0.3">
      <c r="A217" s="4" t="s">
        <v>364</v>
      </c>
      <c r="B217" s="5">
        <v>45708</v>
      </c>
      <c r="C217" s="4" t="s">
        <v>194</v>
      </c>
      <c r="D217" s="4" t="s">
        <v>195</v>
      </c>
      <c r="E217" s="4" t="s">
        <v>128</v>
      </c>
      <c r="F217" s="4" t="s">
        <v>129</v>
      </c>
      <c r="G217" s="4" t="s">
        <v>48</v>
      </c>
      <c r="H217" s="4">
        <v>3</v>
      </c>
      <c r="I217" s="4">
        <v>199.99</v>
      </c>
      <c r="J217" s="4" t="s">
        <v>22</v>
      </c>
      <c r="K217" s="4" t="s">
        <v>52</v>
      </c>
      <c r="L217" s="4" t="s">
        <v>29</v>
      </c>
      <c r="M217" s="5">
        <v>44823</v>
      </c>
      <c r="N217" s="4">
        <v>599.97</v>
      </c>
    </row>
    <row r="218" spans="1:14" ht="15.75" customHeight="1" x14ac:dyDescent="0.3">
      <c r="A218" s="4" t="s">
        <v>365</v>
      </c>
      <c r="B218" s="5">
        <v>45710</v>
      </c>
      <c r="C218" s="4" t="s">
        <v>57</v>
      </c>
      <c r="D218" s="4" t="s">
        <v>58</v>
      </c>
      <c r="E218" s="4" t="s">
        <v>107</v>
      </c>
      <c r="F218" s="4" t="s">
        <v>108</v>
      </c>
      <c r="G218" s="4" t="s">
        <v>48</v>
      </c>
      <c r="H218" s="4">
        <v>5</v>
      </c>
      <c r="I218" s="4">
        <v>299.99</v>
      </c>
      <c r="J218" s="4" t="s">
        <v>22</v>
      </c>
      <c r="K218" s="4" t="s">
        <v>52</v>
      </c>
      <c r="L218" s="4" t="s">
        <v>38</v>
      </c>
      <c r="M218" s="5">
        <v>45142</v>
      </c>
      <c r="N218" s="4">
        <v>1499.95</v>
      </c>
    </row>
    <row r="219" spans="1:14" ht="15.75" customHeight="1" x14ac:dyDescent="0.3">
      <c r="A219" s="4" t="s">
        <v>366</v>
      </c>
      <c r="B219" s="5">
        <v>45710</v>
      </c>
      <c r="C219" s="4" t="s">
        <v>152</v>
      </c>
      <c r="D219" s="4" t="s">
        <v>153</v>
      </c>
      <c r="E219" s="4" t="s">
        <v>82</v>
      </c>
      <c r="F219" s="4" t="s">
        <v>83</v>
      </c>
      <c r="G219" s="4" t="s">
        <v>21</v>
      </c>
      <c r="H219" s="4">
        <v>1</v>
      </c>
      <c r="I219" s="4">
        <v>699.99</v>
      </c>
      <c r="J219" s="4" t="s">
        <v>36</v>
      </c>
      <c r="K219" s="4" t="s">
        <v>52</v>
      </c>
      <c r="L219" s="4" t="s">
        <v>24</v>
      </c>
      <c r="M219" s="5">
        <v>44934</v>
      </c>
      <c r="N219" s="4">
        <v>699.99</v>
      </c>
    </row>
    <row r="220" spans="1:14" ht="15.75" customHeight="1" x14ac:dyDescent="0.3">
      <c r="A220" s="4" t="s">
        <v>367</v>
      </c>
      <c r="B220" s="5">
        <v>45711</v>
      </c>
      <c r="C220" s="4" t="s">
        <v>248</v>
      </c>
      <c r="D220" s="4" t="s">
        <v>249</v>
      </c>
      <c r="E220" s="4" t="s">
        <v>82</v>
      </c>
      <c r="F220" s="4" t="s">
        <v>83</v>
      </c>
      <c r="G220" s="4" t="s">
        <v>21</v>
      </c>
      <c r="H220" s="4">
        <v>1</v>
      </c>
      <c r="I220" s="4">
        <v>699.99</v>
      </c>
      <c r="J220" s="4" t="s">
        <v>22</v>
      </c>
      <c r="K220" s="4" t="s">
        <v>42</v>
      </c>
      <c r="L220" s="4" t="s">
        <v>29</v>
      </c>
      <c r="M220" s="5">
        <v>44583</v>
      </c>
      <c r="N220" s="4">
        <v>699.99</v>
      </c>
    </row>
    <row r="221" spans="1:14" ht="15.75" customHeight="1" x14ac:dyDescent="0.3">
      <c r="A221" s="4" t="s">
        <v>368</v>
      </c>
      <c r="B221" s="5">
        <v>45711</v>
      </c>
      <c r="C221" s="4" t="s">
        <v>327</v>
      </c>
      <c r="D221" s="4" t="s">
        <v>328</v>
      </c>
      <c r="E221" s="4" t="s">
        <v>46</v>
      </c>
      <c r="F221" s="4" t="s">
        <v>47</v>
      </c>
      <c r="G221" s="4" t="s">
        <v>48</v>
      </c>
      <c r="H221" s="4">
        <v>4</v>
      </c>
      <c r="I221" s="4">
        <v>149.99</v>
      </c>
      <c r="J221" s="4" t="s">
        <v>36</v>
      </c>
      <c r="K221" s="4" t="s">
        <v>42</v>
      </c>
      <c r="L221" s="4" t="s">
        <v>29</v>
      </c>
      <c r="M221" s="5">
        <v>44412</v>
      </c>
      <c r="N221" s="4">
        <v>599.96</v>
      </c>
    </row>
    <row r="222" spans="1:14" ht="15.75" customHeight="1" x14ac:dyDescent="0.3">
      <c r="A222" s="4" t="s">
        <v>369</v>
      </c>
      <c r="B222" s="5">
        <v>45711</v>
      </c>
      <c r="C222" s="4" t="s">
        <v>213</v>
      </c>
      <c r="D222" s="4" t="s">
        <v>214</v>
      </c>
      <c r="E222" s="4" t="s">
        <v>119</v>
      </c>
      <c r="F222" s="4" t="s">
        <v>120</v>
      </c>
      <c r="G222" s="4" t="s">
        <v>21</v>
      </c>
      <c r="H222" s="4">
        <v>5</v>
      </c>
      <c r="I222" s="4">
        <v>89.99</v>
      </c>
      <c r="J222" s="4" t="s">
        <v>36</v>
      </c>
      <c r="K222" s="4" t="s">
        <v>52</v>
      </c>
      <c r="L222" s="4" t="s">
        <v>29</v>
      </c>
      <c r="M222" s="5">
        <v>45140</v>
      </c>
      <c r="N222" s="4">
        <v>449.95</v>
      </c>
    </row>
    <row r="223" spans="1:14" ht="15.75" customHeight="1" x14ac:dyDescent="0.3">
      <c r="A223" s="4" t="s">
        <v>370</v>
      </c>
      <c r="B223" s="5">
        <v>45712</v>
      </c>
      <c r="C223" s="4" t="s">
        <v>140</v>
      </c>
      <c r="D223" s="4" t="s">
        <v>141</v>
      </c>
      <c r="E223" s="4" t="s">
        <v>128</v>
      </c>
      <c r="F223" s="4" t="s">
        <v>129</v>
      </c>
      <c r="G223" s="4" t="s">
        <v>48</v>
      </c>
      <c r="H223" s="4">
        <v>2</v>
      </c>
      <c r="I223" s="4">
        <v>199.99</v>
      </c>
      <c r="J223" s="4" t="s">
        <v>22</v>
      </c>
      <c r="K223" s="4" t="s">
        <v>23</v>
      </c>
      <c r="L223" s="4" t="s">
        <v>29</v>
      </c>
      <c r="M223" s="5">
        <v>44573</v>
      </c>
      <c r="N223" s="4">
        <v>399.98</v>
      </c>
    </row>
    <row r="224" spans="1:14" ht="15.75" customHeight="1" x14ac:dyDescent="0.3">
      <c r="A224" s="4" t="s">
        <v>371</v>
      </c>
      <c r="B224" s="5">
        <v>45715</v>
      </c>
      <c r="C224" s="4" t="s">
        <v>261</v>
      </c>
      <c r="D224" s="4" t="s">
        <v>262</v>
      </c>
      <c r="E224" s="4" t="s">
        <v>33</v>
      </c>
      <c r="F224" s="4" t="s">
        <v>34</v>
      </c>
      <c r="G224" s="4" t="s">
        <v>35</v>
      </c>
      <c r="H224" s="4">
        <v>4</v>
      </c>
      <c r="I224" s="4">
        <v>59.99</v>
      </c>
      <c r="J224" s="4" t="s">
        <v>22</v>
      </c>
      <c r="K224" s="4" t="s">
        <v>52</v>
      </c>
      <c r="L224" s="4" t="s">
        <v>38</v>
      </c>
      <c r="M224" s="5">
        <v>45070</v>
      </c>
      <c r="N224" s="4">
        <v>239.96</v>
      </c>
    </row>
    <row r="225" spans="1:14" ht="15.75" customHeight="1" x14ac:dyDescent="0.3">
      <c r="A225" s="4" t="s">
        <v>372</v>
      </c>
      <c r="B225" s="5">
        <v>45715</v>
      </c>
      <c r="C225" s="4" t="s">
        <v>95</v>
      </c>
      <c r="D225" s="4" t="s">
        <v>96</v>
      </c>
      <c r="E225" s="4" t="s">
        <v>107</v>
      </c>
      <c r="F225" s="4" t="s">
        <v>108</v>
      </c>
      <c r="G225" s="4" t="s">
        <v>48</v>
      </c>
      <c r="H225" s="4">
        <v>2</v>
      </c>
      <c r="I225" s="4">
        <v>299.99</v>
      </c>
      <c r="J225" s="4" t="s">
        <v>36</v>
      </c>
      <c r="K225" s="4" t="s">
        <v>37</v>
      </c>
      <c r="L225" s="4" t="s">
        <v>24</v>
      </c>
      <c r="M225" s="5">
        <v>44576</v>
      </c>
      <c r="N225" s="4">
        <v>599.98</v>
      </c>
    </row>
    <row r="226" spans="1:14" ht="15.75" customHeight="1" x14ac:dyDescent="0.3">
      <c r="A226" s="4" t="s">
        <v>373</v>
      </c>
      <c r="B226" s="5">
        <v>45718</v>
      </c>
      <c r="C226" s="4" t="s">
        <v>57</v>
      </c>
      <c r="D226" s="4" t="s">
        <v>58</v>
      </c>
      <c r="E226" s="4" t="s">
        <v>46</v>
      </c>
      <c r="F226" s="4" t="s">
        <v>47</v>
      </c>
      <c r="G226" s="4" t="s">
        <v>48</v>
      </c>
      <c r="H226" s="4">
        <v>2</v>
      </c>
      <c r="I226" s="4">
        <v>149.99</v>
      </c>
      <c r="J226" s="4" t="s">
        <v>22</v>
      </c>
      <c r="K226" s="4" t="s">
        <v>23</v>
      </c>
      <c r="L226" s="4" t="s">
        <v>24</v>
      </c>
      <c r="M226" s="5">
        <v>45068</v>
      </c>
      <c r="N226" s="4">
        <v>299.98</v>
      </c>
    </row>
    <row r="227" spans="1:14" ht="15.75" customHeight="1" x14ac:dyDescent="0.3">
      <c r="A227" s="4" t="s">
        <v>374</v>
      </c>
      <c r="B227" s="5">
        <v>45720</v>
      </c>
      <c r="C227" s="4" t="s">
        <v>228</v>
      </c>
      <c r="D227" s="4" t="s">
        <v>229</v>
      </c>
      <c r="E227" s="4" t="s">
        <v>82</v>
      </c>
      <c r="F227" s="4" t="s">
        <v>83</v>
      </c>
      <c r="G227" s="4" t="s">
        <v>21</v>
      </c>
      <c r="H227" s="4">
        <v>5</v>
      </c>
      <c r="I227" s="4">
        <v>699.99</v>
      </c>
      <c r="J227" s="4" t="s">
        <v>59</v>
      </c>
      <c r="K227" s="4" t="s">
        <v>65</v>
      </c>
      <c r="L227" s="4" t="s">
        <v>29</v>
      </c>
      <c r="M227" s="5">
        <v>45161</v>
      </c>
      <c r="N227" s="4">
        <v>3499.95</v>
      </c>
    </row>
    <row r="228" spans="1:14" ht="15.75" customHeight="1" x14ac:dyDescent="0.3">
      <c r="A228" s="4" t="s">
        <v>375</v>
      </c>
      <c r="B228" s="5">
        <v>45721</v>
      </c>
      <c r="C228" s="4" t="s">
        <v>77</v>
      </c>
      <c r="D228" s="4" t="s">
        <v>78</v>
      </c>
      <c r="E228" s="4" t="s">
        <v>33</v>
      </c>
      <c r="F228" s="4" t="s">
        <v>34</v>
      </c>
      <c r="G228" s="4" t="s">
        <v>35</v>
      </c>
      <c r="H228" s="4">
        <v>5</v>
      </c>
      <c r="I228" s="4">
        <v>59.99</v>
      </c>
      <c r="J228" s="4" t="s">
        <v>22</v>
      </c>
      <c r="K228" s="4" t="s">
        <v>52</v>
      </c>
      <c r="L228" s="4" t="s">
        <v>29</v>
      </c>
      <c r="M228" s="5">
        <v>45291</v>
      </c>
      <c r="N228" s="4">
        <v>299.95</v>
      </c>
    </row>
    <row r="229" spans="1:14" ht="15.75" customHeight="1" x14ac:dyDescent="0.3">
      <c r="A229" s="4" t="s">
        <v>376</v>
      </c>
      <c r="B229" s="5">
        <v>45723</v>
      </c>
      <c r="C229" s="4" t="s">
        <v>17</v>
      </c>
      <c r="D229" s="4" t="s">
        <v>18</v>
      </c>
      <c r="E229" s="4" t="s">
        <v>119</v>
      </c>
      <c r="F229" s="4" t="s">
        <v>120</v>
      </c>
      <c r="G229" s="4" t="s">
        <v>21</v>
      </c>
      <c r="H229" s="4">
        <v>2</v>
      </c>
      <c r="I229" s="4">
        <v>89.99</v>
      </c>
      <c r="J229" s="4" t="s">
        <v>28</v>
      </c>
      <c r="K229" s="4" t="s">
        <v>52</v>
      </c>
      <c r="L229" s="4" t="s">
        <v>29</v>
      </c>
      <c r="M229" s="5">
        <v>45295</v>
      </c>
      <c r="N229" s="4">
        <v>179.98</v>
      </c>
    </row>
    <row r="230" spans="1:14" ht="15.75" customHeight="1" x14ac:dyDescent="0.3">
      <c r="A230" s="4" t="s">
        <v>377</v>
      </c>
      <c r="B230" s="5">
        <v>45723</v>
      </c>
      <c r="C230" s="4" t="s">
        <v>122</v>
      </c>
      <c r="D230" s="4" t="s">
        <v>123</v>
      </c>
      <c r="E230" s="4" t="s">
        <v>19</v>
      </c>
      <c r="F230" s="4" t="s">
        <v>20</v>
      </c>
      <c r="G230" s="4" t="s">
        <v>21</v>
      </c>
      <c r="H230" s="4">
        <v>5</v>
      </c>
      <c r="I230" s="4">
        <v>249.99</v>
      </c>
      <c r="J230" s="4" t="s">
        <v>22</v>
      </c>
      <c r="K230" s="4" t="s">
        <v>65</v>
      </c>
      <c r="L230" s="4" t="s">
        <v>38</v>
      </c>
      <c r="M230" s="5">
        <v>44540</v>
      </c>
      <c r="N230" s="4">
        <v>1249.95</v>
      </c>
    </row>
    <row r="231" spans="1:14" ht="15.75" customHeight="1" x14ac:dyDescent="0.3">
      <c r="A231" s="4" t="s">
        <v>378</v>
      </c>
      <c r="B231" s="5">
        <v>45724</v>
      </c>
      <c r="C231" s="4" t="s">
        <v>228</v>
      </c>
      <c r="D231" s="4" t="s">
        <v>229</v>
      </c>
      <c r="E231" s="4" t="s">
        <v>46</v>
      </c>
      <c r="F231" s="4" t="s">
        <v>47</v>
      </c>
      <c r="G231" s="4" t="s">
        <v>48</v>
      </c>
      <c r="H231" s="4">
        <v>2</v>
      </c>
      <c r="I231" s="4">
        <v>149.99</v>
      </c>
      <c r="J231" s="4" t="s">
        <v>36</v>
      </c>
      <c r="K231" s="4" t="s">
        <v>23</v>
      </c>
      <c r="L231" s="4" t="s">
        <v>29</v>
      </c>
      <c r="M231" s="5">
        <v>44632</v>
      </c>
      <c r="N231" s="4">
        <v>299.98</v>
      </c>
    </row>
    <row r="232" spans="1:14" ht="15.75" customHeight="1" x14ac:dyDescent="0.3">
      <c r="A232" s="4" t="s">
        <v>379</v>
      </c>
      <c r="B232" s="5">
        <v>45724</v>
      </c>
      <c r="C232" s="4" t="s">
        <v>146</v>
      </c>
      <c r="D232" s="4" t="s">
        <v>147</v>
      </c>
      <c r="E232" s="4" t="s">
        <v>63</v>
      </c>
      <c r="F232" s="4" t="s">
        <v>64</v>
      </c>
      <c r="G232" s="4" t="s">
        <v>21</v>
      </c>
      <c r="H232" s="4">
        <v>5</v>
      </c>
      <c r="I232" s="4">
        <v>899.99</v>
      </c>
      <c r="J232" s="4" t="s">
        <v>36</v>
      </c>
      <c r="K232" s="4" t="s">
        <v>65</v>
      </c>
      <c r="L232" s="4" t="s">
        <v>29</v>
      </c>
      <c r="M232" s="5">
        <v>45389</v>
      </c>
      <c r="N232" s="4">
        <v>4499.95</v>
      </c>
    </row>
    <row r="233" spans="1:14" ht="15.75" customHeight="1" x14ac:dyDescent="0.3">
      <c r="A233" s="4" t="s">
        <v>380</v>
      </c>
      <c r="B233" s="5">
        <v>45724</v>
      </c>
      <c r="C233" s="4" t="s">
        <v>57</v>
      </c>
      <c r="D233" s="4" t="s">
        <v>58</v>
      </c>
      <c r="E233" s="4" t="s">
        <v>46</v>
      </c>
      <c r="F233" s="4" t="s">
        <v>47</v>
      </c>
      <c r="G233" s="4" t="s">
        <v>48</v>
      </c>
      <c r="H233" s="4">
        <v>4</v>
      </c>
      <c r="I233" s="4">
        <v>149.99</v>
      </c>
      <c r="J233" s="4" t="s">
        <v>22</v>
      </c>
      <c r="K233" s="4" t="s">
        <v>23</v>
      </c>
      <c r="L233" s="4" t="s">
        <v>38</v>
      </c>
      <c r="M233" s="5">
        <v>45263</v>
      </c>
      <c r="N233" s="4">
        <v>599.96</v>
      </c>
    </row>
    <row r="234" spans="1:14" ht="15.75" customHeight="1" x14ac:dyDescent="0.3">
      <c r="A234" s="4" t="s">
        <v>381</v>
      </c>
      <c r="B234" s="5">
        <v>45726</v>
      </c>
      <c r="C234" s="4" t="s">
        <v>146</v>
      </c>
      <c r="D234" s="4" t="s">
        <v>147</v>
      </c>
      <c r="E234" s="4" t="s">
        <v>19</v>
      </c>
      <c r="F234" s="4" t="s">
        <v>20</v>
      </c>
      <c r="G234" s="4" t="s">
        <v>21</v>
      </c>
      <c r="H234" s="4">
        <v>1</v>
      </c>
      <c r="I234" s="4">
        <v>249.99</v>
      </c>
      <c r="J234" s="4" t="s">
        <v>22</v>
      </c>
      <c r="K234" s="4" t="s">
        <v>42</v>
      </c>
      <c r="L234" s="4" t="s">
        <v>38</v>
      </c>
      <c r="M234" s="5">
        <v>45117</v>
      </c>
      <c r="N234" s="4">
        <v>249.99</v>
      </c>
    </row>
    <row r="235" spans="1:14" ht="15.75" customHeight="1" x14ac:dyDescent="0.3">
      <c r="A235" s="4" t="s">
        <v>382</v>
      </c>
      <c r="B235" s="5">
        <v>45734</v>
      </c>
      <c r="C235" s="4" t="s">
        <v>194</v>
      </c>
      <c r="D235" s="4" t="s">
        <v>195</v>
      </c>
      <c r="E235" s="4" t="s">
        <v>33</v>
      </c>
      <c r="F235" s="4" t="s">
        <v>34</v>
      </c>
      <c r="G235" s="4" t="s">
        <v>35</v>
      </c>
      <c r="H235" s="4">
        <v>2</v>
      </c>
      <c r="I235" s="4">
        <v>59.99</v>
      </c>
      <c r="J235" s="4" t="s">
        <v>28</v>
      </c>
      <c r="K235" s="4" t="s">
        <v>52</v>
      </c>
      <c r="L235" s="4" t="s">
        <v>24</v>
      </c>
      <c r="M235" s="5">
        <v>45193</v>
      </c>
      <c r="N235" s="4">
        <v>119.98</v>
      </c>
    </row>
    <row r="236" spans="1:14" ht="15.75" customHeight="1" x14ac:dyDescent="0.3">
      <c r="A236" s="4" t="s">
        <v>383</v>
      </c>
      <c r="B236" s="5">
        <v>45737</v>
      </c>
      <c r="C236" s="4" t="s">
        <v>134</v>
      </c>
      <c r="D236" s="4" t="s">
        <v>135</v>
      </c>
      <c r="E236" s="4" t="s">
        <v>46</v>
      </c>
      <c r="F236" s="4" t="s">
        <v>47</v>
      </c>
      <c r="G236" s="4" t="s">
        <v>48</v>
      </c>
      <c r="H236" s="4">
        <v>2</v>
      </c>
      <c r="I236" s="4">
        <v>149.99</v>
      </c>
      <c r="J236" s="4" t="s">
        <v>22</v>
      </c>
      <c r="K236" s="4" t="s">
        <v>52</v>
      </c>
      <c r="L236" s="4" t="s">
        <v>29</v>
      </c>
      <c r="M236" s="5">
        <v>45233</v>
      </c>
      <c r="N236" s="4">
        <v>299.98</v>
      </c>
    </row>
    <row r="237" spans="1:14" ht="15.75" customHeight="1" x14ac:dyDescent="0.3">
      <c r="A237" s="4" t="s">
        <v>384</v>
      </c>
      <c r="B237" s="5">
        <v>45737</v>
      </c>
      <c r="C237" s="4" t="s">
        <v>152</v>
      </c>
      <c r="D237" s="4" t="s">
        <v>153</v>
      </c>
      <c r="E237" s="4" t="s">
        <v>63</v>
      </c>
      <c r="F237" s="4" t="s">
        <v>64</v>
      </c>
      <c r="G237" s="4" t="s">
        <v>21</v>
      </c>
      <c r="H237" s="4">
        <v>3</v>
      </c>
      <c r="I237" s="4">
        <v>899.99</v>
      </c>
      <c r="J237" s="4" t="s">
        <v>59</v>
      </c>
      <c r="K237" s="4" t="s">
        <v>42</v>
      </c>
      <c r="L237" s="4" t="s">
        <v>29</v>
      </c>
      <c r="M237" s="5">
        <v>44876</v>
      </c>
      <c r="N237" s="4">
        <v>2699.97</v>
      </c>
    </row>
    <row r="238" spans="1:14" ht="15.75" customHeight="1" x14ac:dyDescent="0.3">
      <c r="A238" s="4" t="s">
        <v>385</v>
      </c>
      <c r="B238" s="5">
        <v>45737</v>
      </c>
      <c r="C238" s="4" t="s">
        <v>50</v>
      </c>
      <c r="D238" s="4" t="s">
        <v>51</v>
      </c>
      <c r="E238" s="4" t="s">
        <v>63</v>
      </c>
      <c r="F238" s="4" t="s">
        <v>64</v>
      </c>
      <c r="G238" s="4" t="s">
        <v>21</v>
      </c>
      <c r="H238" s="4">
        <v>3</v>
      </c>
      <c r="I238" s="4">
        <v>899.99</v>
      </c>
      <c r="J238" s="4" t="s">
        <v>36</v>
      </c>
      <c r="K238" s="4" t="s">
        <v>42</v>
      </c>
      <c r="L238" s="4" t="s">
        <v>24</v>
      </c>
      <c r="M238" s="5">
        <v>44975</v>
      </c>
      <c r="N238" s="4">
        <v>2699.97</v>
      </c>
    </row>
    <row r="239" spans="1:14" ht="15.75" customHeight="1" x14ac:dyDescent="0.3">
      <c r="A239" s="4" t="s">
        <v>386</v>
      </c>
      <c r="B239" s="5">
        <v>45739</v>
      </c>
      <c r="C239" s="4" t="s">
        <v>17</v>
      </c>
      <c r="D239" s="4" t="s">
        <v>18</v>
      </c>
      <c r="E239" s="4" t="s">
        <v>107</v>
      </c>
      <c r="F239" s="4" t="s">
        <v>108</v>
      </c>
      <c r="G239" s="4" t="s">
        <v>48</v>
      </c>
      <c r="H239" s="4">
        <v>3</v>
      </c>
      <c r="I239" s="4">
        <v>299.99</v>
      </c>
      <c r="J239" s="4" t="s">
        <v>28</v>
      </c>
      <c r="K239" s="4" t="s">
        <v>52</v>
      </c>
      <c r="L239" s="4" t="s">
        <v>29</v>
      </c>
      <c r="M239" s="5">
        <v>45234</v>
      </c>
      <c r="N239" s="4">
        <v>899.97</v>
      </c>
    </row>
    <row r="240" spans="1:14" ht="15.75" customHeight="1" x14ac:dyDescent="0.3">
      <c r="A240" s="4" t="s">
        <v>387</v>
      </c>
      <c r="B240" s="5">
        <v>45740</v>
      </c>
      <c r="C240" s="4" t="s">
        <v>388</v>
      </c>
      <c r="D240" s="4" t="s">
        <v>389</v>
      </c>
      <c r="E240" s="4" t="s">
        <v>46</v>
      </c>
      <c r="F240" s="4" t="s">
        <v>47</v>
      </c>
      <c r="G240" s="4" t="s">
        <v>48</v>
      </c>
      <c r="H240" s="4">
        <v>4</v>
      </c>
      <c r="I240" s="4">
        <v>149.99</v>
      </c>
      <c r="J240" s="4" t="s">
        <v>36</v>
      </c>
      <c r="K240" s="4" t="s">
        <v>52</v>
      </c>
      <c r="L240" s="4" t="s">
        <v>38</v>
      </c>
      <c r="M240" s="5">
        <v>44560</v>
      </c>
      <c r="N240" s="4">
        <v>599.96</v>
      </c>
    </row>
    <row r="241" spans="1:14" ht="15.75" customHeight="1" x14ac:dyDescent="0.3">
      <c r="A241" s="4" t="s">
        <v>390</v>
      </c>
      <c r="B241" s="5">
        <v>45743</v>
      </c>
      <c r="C241" s="4" t="s">
        <v>104</v>
      </c>
      <c r="D241" s="4" t="s">
        <v>105</v>
      </c>
      <c r="E241" s="4" t="s">
        <v>116</v>
      </c>
      <c r="F241" s="4" t="s">
        <v>117</v>
      </c>
      <c r="G241" s="4" t="s">
        <v>35</v>
      </c>
      <c r="H241" s="4">
        <v>4</v>
      </c>
      <c r="I241" s="4">
        <v>79.989999999999995</v>
      </c>
      <c r="J241" s="4" t="s">
        <v>28</v>
      </c>
      <c r="K241" s="4" t="s">
        <v>23</v>
      </c>
      <c r="L241" s="4" t="s">
        <v>24</v>
      </c>
      <c r="M241" s="5">
        <v>45288</v>
      </c>
      <c r="N241" s="4">
        <v>319.95999999999998</v>
      </c>
    </row>
    <row r="242" spans="1:14" ht="15.75" customHeight="1" x14ac:dyDescent="0.3">
      <c r="A242" s="4" t="s">
        <v>391</v>
      </c>
      <c r="B242" s="5">
        <v>45745</v>
      </c>
      <c r="C242" s="4" t="s">
        <v>187</v>
      </c>
      <c r="D242" s="4" t="s">
        <v>188</v>
      </c>
      <c r="E242" s="4" t="s">
        <v>119</v>
      </c>
      <c r="F242" s="4" t="s">
        <v>120</v>
      </c>
      <c r="G242" s="4" t="s">
        <v>21</v>
      </c>
      <c r="H242" s="4">
        <v>5</v>
      </c>
      <c r="I242" s="4">
        <v>89.99</v>
      </c>
      <c r="J242" s="4" t="s">
        <v>36</v>
      </c>
      <c r="K242" s="4" t="s">
        <v>37</v>
      </c>
      <c r="L242" s="4" t="s">
        <v>24</v>
      </c>
      <c r="M242" s="5">
        <v>44704</v>
      </c>
      <c r="N242" s="4">
        <v>449.95</v>
      </c>
    </row>
    <row r="243" spans="1:14" ht="15.75" customHeight="1" x14ac:dyDescent="0.3">
      <c r="A243" s="4" t="s">
        <v>392</v>
      </c>
      <c r="B243" s="5">
        <v>45746</v>
      </c>
      <c r="C243" s="4" t="s">
        <v>95</v>
      </c>
      <c r="D243" s="4" t="s">
        <v>96</v>
      </c>
      <c r="E243" s="4" t="s">
        <v>46</v>
      </c>
      <c r="F243" s="4" t="s">
        <v>47</v>
      </c>
      <c r="G243" s="4" t="s">
        <v>48</v>
      </c>
      <c r="H243" s="4">
        <v>3</v>
      </c>
      <c r="I243" s="4">
        <v>149.99</v>
      </c>
      <c r="J243" s="4" t="s">
        <v>36</v>
      </c>
      <c r="K243" s="4" t="s">
        <v>23</v>
      </c>
      <c r="L243" s="4" t="s">
        <v>38</v>
      </c>
      <c r="M243" s="5">
        <v>45171</v>
      </c>
      <c r="N243" s="4">
        <v>449.97</v>
      </c>
    </row>
    <row r="244" spans="1:14" ht="15.75" customHeight="1" x14ac:dyDescent="0.3">
      <c r="A244" s="4" t="s">
        <v>393</v>
      </c>
      <c r="B244" s="5">
        <v>45746</v>
      </c>
      <c r="C244" s="4" t="s">
        <v>67</v>
      </c>
      <c r="D244" s="4" t="s">
        <v>68</v>
      </c>
      <c r="E244" s="4" t="s">
        <v>119</v>
      </c>
      <c r="F244" s="4" t="s">
        <v>120</v>
      </c>
      <c r="G244" s="4" t="s">
        <v>21</v>
      </c>
      <c r="H244" s="4">
        <v>2</v>
      </c>
      <c r="I244" s="4">
        <v>89.99</v>
      </c>
      <c r="J244" s="4" t="s">
        <v>59</v>
      </c>
      <c r="K244" s="4" t="s">
        <v>52</v>
      </c>
      <c r="L244" s="4" t="s">
        <v>29</v>
      </c>
      <c r="M244" s="5">
        <v>44522</v>
      </c>
      <c r="N244" s="4">
        <v>179.98</v>
      </c>
    </row>
    <row r="245" spans="1:14" ht="15.75" customHeight="1" x14ac:dyDescent="0.3">
      <c r="A245" s="4" t="s">
        <v>394</v>
      </c>
      <c r="B245" s="5">
        <v>45748</v>
      </c>
      <c r="C245" s="4" t="s">
        <v>104</v>
      </c>
      <c r="D245" s="4" t="s">
        <v>105</v>
      </c>
      <c r="E245" s="4" t="s">
        <v>82</v>
      </c>
      <c r="F245" s="4" t="s">
        <v>83</v>
      </c>
      <c r="G245" s="4" t="s">
        <v>21</v>
      </c>
      <c r="H245" s="4">
        <v>2</v>
      </c>
      <c r="I245" s="4">
        <v>699.99</v>
      </c>
      <c r="J245" s="4" t="s">
        <v>36</v>
      </c>
      <c r="K245" s="4" t="s">
        <v>42</v>
      </c>
      <c r="L245" s="4" t="s">
        <v>38</v>
      </c>
      <c r="M245" s="5">
        <v>44618</v>
      </c>
      <c r="N245" s="4">
        <v>1399.98</v>
      </c>
    </row>
    <row r="246" spans="1:14" ht="15.75" customHeight="1" x14ac:dyDescent="0.3">
      <c r="A246" s="4" t="s">
        <v>395</v>
      </c>
      <c r="B246" s="5">
        <v>45749</v>
      </c>
      <c r="C246" s="4" t="s">
        <v>125</v>
      </c>
      <c r="D246" s="4" t="s">
        <v>126</v>
      </c>
      <c r="E246" s="4" t="s">
        <v>63</v>
      </c>
      <c r="F246" s="4" t="s">
        <v>64</v>
      </c>
      <c r="G246" s="4" t="s">
        <v>21</v>
      </c>
      <c r="H246" s="4">
        <v>3</v>
      </c>
      <c r="I246" s="4">
        <v>899.99</v>
      </c>
      <c r="J246" s="4" t="s">
        <v>22</v>
      </c>
      <c r="K246" s="4" t="s">
        <v>23</v>
      </c>
      <c r="L246" s="4" t="s">
        <v>38</v>
      </c>
      <c r="M246" s="5">
        <v>44953</v>
      </c>
      <c r="N246" s="4">
        <v>2699.97</v>
      </c>
    </row>
    <row r="247" spans="1:14" ht="15.75" customHeight="1" x14ac:dyDescent="0.3">
      <c r="A247" s="4" t="s">
        <v>396</v>
      </c>
      <c r="B247" s="5">
        <v>45755</v>
      </c>
      <c r="C247" s="4" t="s">
        <v>95</v>
      </c>
      <c r="D247" s="4" t="s">
        <v>96</v>
      </c>
      <c r="E247" s="4" t="s">
        <v>116</v>
      </c>
      <c r="F247" s="4" t="s">
        <v>117</v>
      </c>
      <c r="G247" s="4" t="s">
        <v>35</v>
      </c>
      <c r="H247" s="4">
        <v>3</v>
      </c>
      <c r="I247" s="4">
        <v>79.989999999999995</v>
      </c>
      <c r="J247" s="4" t="s">
        <v>28</v>
      </c>
      <c r="K247" s="4" t="s">
        <v>42</v>
      </c>
      <c r="L247" s="4" t="s">
        <v>24</v>
      </c>
      <c r="M247" s="5">
        <v>44511</v>
      </c>
      <c r="N247" s="4">
        <v>239.97</v>
      </c>
    </row>
    <row r="248" spans="1:14" ht="15.75" customHeight="1" x14ac:dyDescent="0.3">
      <c r="A248" s="4" t="s">
        <v>397</v>
      </c>
      <c r="B248" s="5">
        <v>45756</v>
      </c>
      <c r="C248" s="4" t="s">
        <v>61</v>
      </c>
      <c r="D248" s="4" t="s">
        <v>62</v>
      </c>
      <c r="E248" s="4" t="s">
        <v>119</v>
      </c>
      <c r="F248" s="4" t="s">
        <v>120</v>
      </c>
      <c r="G248" s="4" t="s">
        <v>21</v>
      </c>
      <c r="H248" s="4">
        <v>1</v>
      </c>
      <c r="I248" s="4">
        <v>89.99</v>
      </c>
      <c r="J248" s="4" t="s">
        <v>59</v>
      </c>
      <c r="K248" s="4" t="s">
        <v>65</v>
      </c>
      <c r="L248" s="4" t="s">
        <v>24</v>
      </c>
      <c r="M248" s="5">
        <v>45346</v>
      </c>
      <c r="N248" s="4">
        <v>89.99</v>
      </c>
    </row>
    <row r="249" spans="1:14" ht="15.75" customHeight="1" x14ac:dyDescent="0.3">
      <c r="A249" s="4" t="s">
        <v>398</v>
      </c>
      <c r="B249" s="5">
        <v>45758</v>
      </c>
      <c r="C249" s="4" t="s">
        <v>295</v>
      </c>
      <c r="D249" s="4" t="s">
        <v>296</v>
      </c>
      <c r="E249" s="4" t="s">
        <v>82</v>
      </c>
      <c r="F249" s="4" t="s">
        <v>83</v>
      </c>
      <c r="G249" s="4" t="s">
        <v>21</v>
      </c>
      <c r="H249" s="4">
        <v>3</v>
      </c>
      <c r="I249" s="4">
        <v>699.99</v>
      </c>
      <c r="J249" s="4" t="s">
        <v>36</v>
      </c>
      <c r="K249" s="4" t="s">
        <v>42</v>
      </c>
      <c r="L249" s="4" t="s">
        <v>24</v>
      </c>
      <c r="M249" s="5">
        <v>44909</v>
      </c>
      <c r="N249" s="4">
        <v>2099.9699999999998</v>
      </c>
    </row>
    <row r="250" spans="1:14" ht="15.75" customHeight="1" x14ac:dyDescent="0.3">
      <c r="A250" s="4" t="s">
        <v>399</v>
      </c>
      <c r="B250" s="5">
        <v>45758</v>
      </c>
      <c r="C250" s="4" t="s">
        <v>228</v>
      </c>
      <c r="D250" s="4" t="s">
        <v>229</v>
      </c>
      <c r="E250" s="4" t="s">
        <v>119</v>
      </c>
      <c r="F250" s="4" t="s">
        <v>120</v>
      </c>
      <c r="G250" s="4" t="s">
        <v>21</v>
      </c>
      <c r="H250" s="4">
        <v>2</v>
      </c>
      <c r="I250" s="4">
        <v>89.99</v>
      </c>
      <c r="J250" s="4" t="s">
        <v>59</v>
      </c>
      <c r="K250" s="4" t="s">
        <v>65</v>
      </c>
      <c r="L250" s="4" t="s">
        <v>24</v>
      </c>
      <c r="M250" s="5">
        <v>45088</v>
      </c>
      <c r="N250" s="4">
        <v>179.98</v>
      </c>
    </row>
    <row r="251" spans="1:14" ht="15.75" customHeight="1" x14ac:dyDescent="0.3">
      <c r="A251" s="4" t="s">
        <v>400</v>
      </c>
      <c r="B251" s="5">
        <v>45758</v>
      </c>
      <c r="C251" s="4" t="s">
        <v>140</v>
      </c>
      <c r="D251" s="4" t="s">
        <v>141</v>
      </c>
      <c r="E251" s="4" t="s">
        <v>119</v>
      </c>
      <c r="F251" s="4" t="s">
        <v>120</v>
      </c>
      <c r="G251" s="4" t="s">
        <v>21</v>
      </c>
      <c r="H251" s="4">
        <v>3</v>
      </c>
      <c r="I251" s="4">
        <v>89.99</v>
      </c>
      <c r="J251" s="4" t="s">
        <v>59</v>
      </c>
      <c r="K251" s="4" t="s">
        <v>42</v>
      </c>
      <c r="L251" s="4" t="s">
        <v>29</v>
      </c>
      <c r="M251" s="5">
        <v>44878</v>
      </c>
      <c r="N251" s="4">
        <v>269.97000000000003</v>
      </c>
    </row>
    <row r="252" spans="1:14" ht="15.75" customHeight="1" x14ac:dyDescent="0.3">
      <c r="B252" s="6"/>
      <c r="H252">
        <f>SUBTOTAL(109,Table1[Quantity])</f>
        <v>753</v>
      </c>
      <c r="I252">
        <f>SUBTOTAL(101,Table1[Unit_Price])</f>
        <v>296.67000000000007</v>
      </c>
      <c r="M252" s="6"/>
      <c r="N252">
        <f>SUBTOTAL(109,Table1[Total_Amount])</f>
        <v>229192.47000000032</v>
      </c>
    </row>
    <row r="253" spans="1:14" ht="15.75" customHeight="1" x14ac:dyDescent="0.3"/>
    <row r="254" spans="1:14" ht="15.75" customHeight="1" x14ac:dyDescent="0.3"/>
    <row r="255" spans="1:14" ht="15.75" customHeight="1" x14ac:dyDescent="0.3"/>
    <row r="256" spans="1:14" ht="15.75" customHeight="1" x14ac:dyDescent="0.3"/>
    <row r="257" spans="4:4" ht="15.75" customHeight="1" x14ac:dyDescent="0.3"/>
    <row r="258" spans="4:4" ht="15.75" customHeight="1" x14ac:dyDescent="0.3"/>
    <row r="259" spans="4:4" ht="15.75" customHeight="1" x14ac:dyDescent="0.3"/>
    <row r="260" spans="4:4" ht="15.75" customHeight="1" x14ac:dyDescent="0.3"/>
    <row r="261" spans="4:4" ht="15.75" customHeight="1" x14ac:dyDescent="0.3"/>
    <row r="262" spans="4:4" ht="15.75" customHeight="1" x14ac:dyDescent="0.3"/>
    <row r="263" spans="4:4" ht="15.75" customHeight="1" x14ac:dyDescent="0.3"/>
    <row r="264" spans="4:4" ht="15.75" customHeight="1" x14ac:dyDescent="0.3"/>
    <row r="265" spans="4:4" ht="15.75" customHeight="1" x14ac:dyDescent="0.3"/>
    <row r="266" spans="4:4" ht="15.75" customHeight="1" x14ac:dyDescent="0.3"/>
    <row r="267" spans="4:4" ht="15.75" customHeight="1" x14ac:dyDescent="0.3"/>
    <row r="268" spans="4:4" ht="15.75" customHeight="1" x14ac:dyDescent="0.3"/>
    <row r="269" spans="4:4" ht="15.75" customHeight="1" x14ac:dyDescent="0.3"/>
    <row r="270" spans="4:4" ht="15.75" customHeight="1" x14ac:dyDescent="0.3"/>
    <row r="271" spans="4:4" ht="15.75" customHeight="1" x14ac:dyDescent="0.3">
      <c r="D271" t="s">
        <v>21</v>
      </c>
    </row>
    <row r="272" spans="4:4" ht="15.75" customHeight="1" x14ac:dyDescent="0.3">
      <c r="D272" t="s">
        <v>35</v>
      </c>
    </row>
    <row r="273" spans="4:4" ht="15.75" customHeight="1" x14ac:dyDescent="0.3">
      <c r="D273" t="s">
        <v>48</v>
      </c>
    </row>
    <row r="274" spans="4:4" ht="15.75" customHeight="1" x14ac:dyDescent="0.3"/>
    <row r="275" spans="4:4" ht="15.75" customHeight="1" x14ac:dyDescent="0.3"/>
    <row r="276" spans="4:4" ht="15.75" customHeight="1" x14ac:dyDescent="0.3"/>
    <row r="277" spans="4:4" ht="15.75" customHeight="1" x14ac:dyDescent="0.3"/>
    <row r="278" spans="4:4" ht="15.75" customHeight="1" x14ac:dyDescent="0.3"/>
    <row r="279" spans="4:4" ht="15.75" customHeight="1" x14ac:dyDescent="0.3"/>
    <row r="280" spans="4:4" ht="15.75" customHeight="1" x14ac:dyDescent="0.3"/>
    <row r="281" spans="4:4" ht="15.75" customHeight="1" x14ac:dyDescent="0.3"/>
    <row r="282" spans="4:4" ht="15.75" customHeight="1" x14ac:dyDescent="0.3"/>
    <row r="283" spans="4:4" ht="15.75" customHeight="1" x14ac:dyDescent="0.3"/>
    <row r="284" spans="4:4" ht="15.75" customHeight="1" x14ac:dyDescent="0.3"/>
    <row r="285" spans="4:4" ht="15.75" customHeight="1" x14ac:dyDescent="0.3"/>
    <row r="286" spans="4:4" ht="15.75" customHeight="1" x14ac:dyDescent="0.3"/>
    <row r="287" spans="4:4" ht="15.75" customHeight="1" x14ac:dyDescent="0.3"/>
    <row r="288" spans="4:4"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48576" spans="8:14" ht="15" customHeight="1" x14ac:dyDescent="0.3">
      <c r="H1048576">
        <f>SUM(H2:H1048575)</f>
        <v>1506</v>
      </c>
      <c r="I1048576">
        <f>SUM(I2:I1048575)</f>
        <v>74464.170000000013</v>
      </c>
      <c r="N1048576">
        <f>SUM(N2:N1048575)</f>
        <v>458384.94000000064</v>
      </c>
    </row>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C5A70-03D7-4F0A-9003-6139AA1FB5E9}">
  <dimension ref="A1"/>
  <sheetViews>
    <sheetView showGridLines="0" workbookViewId="0">
      <selection activeCell="B29" sqref="B29"/>
      <extLst>
        <ext xmlns:xlsdti="http://schemas.microsoft.com/office/spreadsheetml/2023/showDataTypeIcons" uri="{77bfe23e-c014-4d31-8a63-9c772dbf06b6}">
          <xlsdti:showDataTypeIcons visible="0"/>
        </ext>
      </extLst>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1A17-B390-44F7-9738-CAD44339979C}">
  <dimension ref="A2:N111"/>
  <sheetViews>
    <sheetView workbookViewId="0">
      <selection activeCell="C17" sqref="C17"/>
    </sheetView>
  </sheetViews>
  <sheetFormatPr defaultRowHeight="14.4" x14ac:dyDescent="0.3"/>
  <cols>
    <col min="1" max="1" width="15.77734375" bestFit="1" customWidth="1"/>
    <col min="2" max="2" width="6" bestFit="1" customWidth="1"/>
    <col min="3" max="3" width="11.88671875" bestFit="1" customWidth="1"/>
    <col min="4" max="4" width="15.21875" bestFit="1" customWidth="1"/>
    <col min="5" max="5" width="10.44140625" bestFit="1" customWidth="1"/>
    <col min="6" max="6" width="13.77734375" bestFit="1" customWidth="1"/>
    <col min="7" max="7" width="9.6640625" bestFit="1" customWidth="1"/>
    <col min="8" max="8" width="8.33203125" bestFit="1" customWidth="1"/>
    <col min="9" max="9" width="9.6640625" bestFit="1" customWidth="1"/>
    <col min="10" max="10" width="16.44140625" bestFit="1" customWidth="1"/>
    <col min="11" max="11" width="6.88671875" bestFit="1" customWidth="1"/>
    <col min="12" max="12" width="17.77734375" bestFit="1" customWidth="1"/>
    <col min="13" max="13" width="14.6640625" bestFit="1" customWidth="1"/>
    <col min="14" max="14" width="13.21875" bestFit="1" customWidth="1"/>
  </cols>
  <sheetData>
    <row r="2" spans="1:14" x14ac:dyDescent="0.3">
      <c r="A2" s="20" t="s">
        <v>459</v>
      </c>
    </row>
    <row r="3" spans="1:14" x14ac:dyDescent="0.3">
      <c r="A3" s="14" t="s">
        <v>35</v>
      </c>
    </row>
    <row r="5" spans="1:14" x14ac:dyDescent="0.3">
      <c r="A5" s="17" t="s">
        <v>2</v>
      </c>
      <c r="B5" s="18" t="s">
        <v>3</v>
      </c>
      <c r="C5" s="18" t="s">
        <v>4</v>
      </c>
      <c r="D5" s="18" t="s">
        <v>5</v>
      </c>
      <c r="E5" s="18" t="s">
        <v>6</v>
      </c>
      <c r="F5" s="18" t="s">
        <v>7</v>
      </c>
      <c r="G5" s="18" t="s">
        <v>8</v>
      </c>
      <c r="H5" s="18" t="s">
        <v>9</v>
      </c>
      <c r="I5" s="18" t="s">
        <v>10</v>
      </c>
      <c r="J5" s="18" t="s">
        <v>11</v>
      </c>
      <c r="K5" s="18" t="s">
        <v>12</v>
      </c>
      <c r="L5" s="18" t="s">
        <v>13</v>
      </c>
      <c r="M5" s="18" t="s">
        <v>14</v>
      </c>
      <c r="N5" s="19" t="s">
        <v>15</v>
      </c>
    </row>
    <row r="6" spans="1:14" x14ac:dyDescent="0.3">
      <c r="A6" t="str" cm="1">
        <f t="array" ref="A6:N48">IFERROR(_xlfn._xlws.FILTER(Dataset!A2:N251,Dataset!G2:G251=A3),"Select Category Name")</f>
        <v>TRX0139</v>
      </c>
      <c r="B6">
        <v>45399</v>
      </c>
      <c r="C6" t="str">
        <v>CUST021</v>
      </c>
      <c r="D6" t="str">
        <v>Kevin Scott</v>
      </c>
      <c r="E6" t="str">
        <v>P005</v>
      </c>
      <c r="F6" t="str">
        <v>Blender</v>
      </c>
      <c r="G6" t="str">
        <v>Appliances</v>
      </c>
      <c r="H6">
        <v>3</v>
      </c>
      <c r="I6">
        <v>59.99</v>
      </c>
      <c r="J6" t="str">
        <v>PayPal</v>
      </c>
      <c r="K6" t="str">
        <v>South</v>
      </c>
      <c r="L6" t="str">
        <v>Standard</v>
      </c>
      <c r="M6">
        <v>45262</v>
      </c>
      <c r="N6">
        <v>179.97</v>
      </c>
    </row>
    <row r="7" spans="1:14" x14ac:dyDescent="0.3">
      <c r="A7" t="str">
        <v>TRX0043</v>
      </c>
      <c r="B7">
        <v>45400</v>
      </c>
      <c r="C7" t="str">
        <v>CUST046</v>
      </c>
      <c r="D7" t="str">
        <v>Kathleen Bennett</v>
      </c>
      <c r="E7" t="str">
        <v>P005</v>
      </c>
      <c r="F7" t="str">
        <v>Blender</v>
      </c>
      <c r="G7" t="str">
        <v>Appliances</v>
      </c>
      <c r="H7">
        <v>3</v>
      </c>
      <c r="I7">
        <v>59.99</v>
      </c>
      <c r="J7" t="str">
        <v>Cash</v>
      </c>
      <c r="K7" t="str">
        <v>North</v>
      </c>
      <c r="L7" t="str">
        <v>Premium</v>
      </c>
      <c r="M7">
        <v>45114</v>
      </c>
      <c r="N7">
        <v>179.97</v>
      </c>
    </row>
    <row r="8" spans="1:14" x14ac:dyDescent="0.3">
      <c r="A8" t="str">
        <v>TRX0092</v>
      </c>
      <c r="B8">
        <v>45403</v>
      </c>
      <c r="C8" t="str">
        <v>CUST024</v>
      </c>
      <c r="D8" t="str">
        <v>Dorothy Nelson</v>
      </c>
      <c r="E8" t="str">
        <v>P005</v>
      </c>
      <c r="F8" t="str">
        <v>Blender</v>
      </c>
      <c r="G8" t="str">
        <v>Appliances</v>
      </c>
      <c r="H8">
        <v>2</v>
      </c>
      <c r="I8">
        <v>59.99</v>
      </c>
      <c r="J8" t="str">
        <v>Cash</v>
      </c>
      <c r="K8" t="str">
        <v>West</v>
      </c>
      <c r="L8" t="str">
        <v>Standard</v>
      </c>
      <c r="M8">
        <v>44746</v>
      </c>
      <c r="N8">
        <v>119.98</v>
      </c>
    </row>
    <row r="9" spans="1:14" x14ac:dyDescent="0.3">
      <c r="A9" t="str">
        <v>TRX0240</v>
      </c>
      <c r="B9">
        <v>45403</v>
      </c>
      <c r="C9" t="str">
        <v>CUST017</v>
      </c>
      <c r="D9" t="str">
        <v>Charles Allen</v>
      </c>
      <c r="E9" t="str">
        <v>P005</v>
      </c>
      <c r="F9" t="str">
        <v>Blender</v>
      </c>
      <c r="G9" t="str">
        <v>Appliances</v>
      </c>
      <c r="H9">
        <v>3</v>
      </c>
      <c r="I9">
        <v>59.99</v>
      </c>
      <c r="J9" t="str">
        <v>Debit Card</v>
      </c>
      <c r="K9" t="str">
        <v>South</v>
      </c>
      <c r="L9" t="str">
        <v>Basic</v>
      </c>
      <c r="M9">
        <v>45007</v>
      </c>
      <c r="N9">
        <v>179.97</v>
      </c>
    </row>
    <row r="10" spans="1:14" x14ac:dyDescent="0.3">
      <c r="A10" t="str">
        <v>TRX0185</v>
      </c>
      <c r="B10">
        <v>45408</v>
      </c>
      <c r="C10" t="str">
        <v>CUST026</v>
      </c>
      <c r="D10" t="str">
        <v>Karen Hill</v>
      </c>
      <c r="E10" t="str">
        <v>P005</v>
      </c>
      <c r="F10" t="str">
        <v>Blender</v>
      </c>
      <c r="G10" t="str">
        <v>Appliances</v>
      </c>
      <c r="H10">
        <v>3</v>
      </c>
      <c r="I10">
        <v>59.99</v>
      </c>
      <c r="J10" t="str">
        <v>Cash</v>
      </c>
      <c r="K10" t="str">
        <v>West</v>
      </c>
      <c r="L10" t="str">
        <v>Premium</v>
      </c>
      <c r="M10">
        <v>45207</v>
      </c>
      <c r="N10">
        <v>179.97</v>
      </c>
    </row>
    <row r="11" spans="1:14" x14ac:dyDescent="0.3">
      <c r="A11" t="str">
        <v>TRX0067</v>
      </c>
      <c r="B11">
        <v>45409</v>
      </c>
      <c r="C11" t="str">
        <v>CUST043</v>
      </c>
      <c r="D11" t="str">
        <v>Dennis Gray</v>
      </c>
      <c r="E11" t="str">
        <v>P005</v>
      </c>
      <c r="F11" t="str">
        <v>Blender</v>
      </c>
      <c r="G11" t="str">
        <v>Appliances</v>
      </c>
      <c r="H11">
        <v>3</v>
      </c>
      <c r="I11">
        <v>59.99</v>
      </c>
      <c r="J11" t="str">
        <v>Credit Card</v>
      </c>
      <c r="K11" t="str">
        <v>North</v>
      </c>
      <c r="L11" t="str">
        <v>Standard</v>
      </c>
      <c r="M11">
        <v>45351</v>
      </c>
      <c r="N11">
        <v>179.97</v>
      </c>
    </row>
    <row r="12" spans="1:14" x14ac:dyDescent="0.3">
      <c r="A12" t="str">
        <v>TRX0235</v>
      </c>
      <c r="B12">
        <v>45424</v>
      </c>
      <c r="C12" t="str">
        <v>CUST014</v>
      </c>
      <c r="D12" t="str">
        <v>Linda Martin</v>
      </c>
      <c r="E12" t="str">
        <v>P004</v>
      </c>
      <c r="F12" t="str">
        <v>Coffee Maker</v>
      </c>
      <c r="G12" t="str">
        <v>Appliances</v>
      </c>
      <c r="H12">
        <v>3</v>
      </c>
      <c r="I12">
        <v>79.989999999999995</v>
      </c>
      <c r="J12" t="str">
        <v>PayPal</v>
      </c>
      <c r="K12" t="str">
        <v>East</v>
      </c>
      <c r="L12" t="str">
        <v>Premium</v>
      </c>
      <c r="M12">
        <v>45012</v>
      </c>
      <c r="N12">
        <v>239.97</v>
      </c>
    </row>
    <row r="13" spans="1:14" x14ac:dyDescent="0.3">
      <c r="A13" t="str">
        <v>TRX0063</v>
      </c>
      <c r="B13">
        <v>45425</v>
      </c>
      <c r="C13" t="str">
        <v>CUST030</v>
      </c>
      <c r="D13" t="str">
        <v>Helen Roberts</v>
      </c>
      <c r="E13" t="str">
        <v>P005</v>
      </c>
      <c r="F13" t="str">
        <v>Blender</v>
      </c>
      <c r="G13" t="str">
        <v>Appliances</v>
      </c>
      <c r="H13">
        <v>2</v>
      </c>
      <c r="I13">
        <v>59.99</v>
      </c>
      <c r="J13" t="str">
        <v>Debit Card</v>
      </c>
      <c r="K13" t="str">
        <v>Central</v>
      </c>
      <c r="L13" t="str">
        <v>Standard</v>
      </c>
      <c r="M13">
        <v>45214</v>
      </c>
      <c r="N13">
        <v>119.98</v>
      </c>
    </row>
    <row r="14" spans="1:14" x14ac:dyDescent="0.3">
      <c r="A14" t="str">
        <v>TRX0241</v>
      </c>
      <c r="B14">
        <v>45427</v>
      </c>
      <c r="C14" t="str">
        <v>CUST029</v>
      </c>
      <c r="D14" t="str">
        <v>Edward Mitchell</v>
      </c>
      <c r="E14" t="str">
        <v>P005</v>
      </c>
      <c r="F14" t="str">
        <v>Blender</v>
      </c>
      <c r="G14" t="str">
        <v>Appliances</v>
      </c>
      <c r="H14">
        <v>4</v>
      </c>
      <c r="I14">
        <v>59.99</v>
      </c>
      <c r="J14" t="str">
        <v>Debit Card</v>
      </c>
      <c r="K14" t="str">
        <v>East</v>
      </c>
      <c r="L14" t="str">
        <v>Standard</v>
      </c>
      <c r="M14">
        <v>44867</v>
      </c>
      <c r="N14">
        <v>239.96</v>
      </c>
    </row>
    <row r="15" spans="1:14" x14ac:dyDescent="0.3">
      <c r="A15" t="str">
        <v>TRX0021</v>
      </c>
      <c r="B15">
        <v>45435</v>
      </c>
      <c r="C15" t="str">
        <v>CUST006</v>
      </c>
      <c r="D15" t="str">
        <v>Lisa Anderson</v>
      </c>
      <c r="E15" t="str">
        <v>P004</v>
      </c>
      <c r="F15" t="str">
        <v>Coffee Maker</v>
      </c>
      <c r="G15" t="str">
        <v>Appliances</v>
      </c>
      <c r="H15">
        <v>3</v>
      </c>
      <c r="I15">
        <v>79.989999999999995</v>
      </c>
      <c r="J15" t="str">
        <v>Cash</v>
      </c>
      <c r="K15" t="str">
        <v>South</v>
      </c>
      <c r="L15" t="str">
        <v>Basic</v>
      </c>
      <c r="M15">
        <v>45046</v>
      </c>
      <c r="N15">
        <v>239.97</v>
      </c>
    </row>
    <row r="16" spans="1:14" x14ac:dyDescent="0.3">
      <c r="A16" t="str">
        <v>TRX0042</v>
      </c>
      <c r="B16">
        <v>45443</v>
      </c>
      <c r="C16" t="str">
        <v>CUST019</v>
      </c>
      <c r="D16" t="str">
        <v>Daniel King</v>
      </c>
      <c r="E16" t="str">
        <v>P004</v>
      </c>
      <c r="F16" t="str">
        <v>Coffee Maker</v>
      </c>
      <c r="G16" t="str">
        <v>Appliances</v>
      </c>
      <c r="H16">
        <v>1</v>
      </c>
      <c r="I16">
        <v>79.989999999999995</v>
      </c>
      <c r="J16" t="str">
        <v>Cash</v>
      </c>
      <c r="K16" t="str">
        <v>North</v>
      </c>
      <c r="L16" t="str">
        <v>Standard</v>
      </c>
      <c r="M16">
        <v>44917</v>
      </c>
      <c r="N16">
        <v>79.989999999999995</v>
      </c>
    </row>
    <row r="17" spans="1:14" x14ac:dyDescent="0.3">
      <c r="A17" t="str">
        <v>TRX0128</v>
      </c>
      <c r="B17">
        <v>45444</v>
      </c>
      <c r="C17" t="str">
        <v>CUST040</v>
      </c>
      <c r="D17" t="str">
        <v>Sharon Butler</v>
      </c>
      <c r="E17" t="str">
        <v>P005</v>
      </c>
      <c r="F17" t="str">
        <v>Blender</v>
      </c>
      <c r="G17" t="str">
        <v>Appliances</v>
      </c>
      <c r="H17">
        <v>2</v>
      </c>
      <c r="I17">
        <v>59.99</v>
      </c>
      <c r="J17" t="str">
        <v>Cash</v>
      </c>
      <c r="K17" t="str">
        <v>West</v>
      </c>
      <c r="L17" t="str">
        <v>Basic</v>
      </c>
      <c r="M17">
        <v>45390</v>
      </c>
      <c r="N17">
        <v>119.98</v>
      </c>
    </row>
    <row r="18" spans="1:14" x14ac:dyDescent="0.3">
      <c r="A18" t="str">
        <v>TRX0093</v>
      </c>
      <c r="B18">
        <v>45452</v>
      </c>
      <c r="C18" t="str">
        <v>CUST050</v>
      </c>
      <c r="D18" t="str">
        <v>Julie Foster</v>
      </c>
      <c r="E18" t="str">
        <v>P005</v>
      </c>
      <c r="F18" t="str">
        <v>Blender</v>
      </c>
      <c r="G18" t="str">
        <v>Appliances</v>
      </c>
      <c r="H18">
        <v>4</v>
      </c>
      <c r="I18">
        <v>59.99</v>
      </c>
      <c r="J18" t="str">
        <v>Cash</v>
      </c>
      <c r="K18" t="str">
        <v>East</v>
      </c>
      <c r="L18" t="str">
        <v>Standard</v>
      </c>
      <c r="M18">
        <v>44435</v>
      </c>
      <c r="N18">
        <v>239.96</v>
      </c>
    </row>
    <row r="19" spans="1:14" x14ac:dyDescent="0.3">
      <c r="A19" t="str">
        <v>TRX0061</v>
      </c>
      <c r="B19">
        <v>45460</v>
      </c>
      <c r="C19" t="str">
        <v>CUST028</v>
      </c>
      <c r="D19" t="str">
        <v>Betty Campbell</v>
      </c>
      <c r="E19" t="str">
        <v>P005</v>
      </c>
      <c r="F19" t="str">
        <v>Blender</v>
      </c>
      <c r="G19" t="str">
        <v>Appliances</v>
      </c>
      <c r="H19">
        <v>1</v>
      </c>
      <c r="I19">
        <v>59.99</v>
      </c>
      <c r="J19" t="str">
        <v>Debit Card</v>
      </c>
      <c r="K19" t="str">
        <v>West</v>
      </c>
      <c r="L19" t="str">
        <v>Premium</v>
      </c>
      <c r="M19">
        <v>45190</v>
      </c>
      <c r="N19">
        <v>59.99</v>
      </c>
    </row>
    <row r="20" spans="1:14" x14ac:dyDescent="0.3">
      <c r="A20" t="str">
        <v>TRX0078</v>
      </c>
      <c r="B20">
        <v>45469</v>
      </c>
      <c r="C20" t="str">
        <v>CUST021</v>
      </c>
      <c r="D20" t="str">
        <v>Kevin Scott</v>
      </c>
      <c r="E20" t="str">
        <v>P004</v>
      </c>
      <c r="F20" t="str">
        <v>Coffee Maker</v>
      </c>
      <c r="G20" t="str">
        <v>Appliances</v>
      </c>
      <c r="H20">
        <v>1</v>
      </c>
      <c r="I20">
        <v>79.989999999999995</v>
      </c>
      <c r="J20" t="str">
        <v>PayPal</v>
      </c>
      <c r="K20" t="str">
        <v>Central</v>
      </c>
      <c r="L20" t="str">
        <v>Premium</v>
      </c>
      <c r="M20">
        <v>45352</v>
      </c>
      <c r="N20">
        <v>79.989999999999995</v>
      </c>
    </row>
    <row r="21" spans="1:14" x14ac:dyDescent="0.3">
      <c r="A21" t="str">
        <v>TRX0070</v>
      </c>
      <c r="B21">
        <v>45476</v>
      </c>
      <c r="C21" t="str">
        <v>CUST007</v>
      </c>
      <c r="D21" t="str">
        <v>David Martinez</v>
      </c>
      <c r="E21" t="str">
        <v>P004</v>
      </c>
      <c r="F21" t="str">
        <v>Coffee Maker</v>
      </c>
      <c r="G21" t="str">
        <v>Appliances</v>
      </c>
      <c r="H21">
        <v>5</v>
      </c>
      <c r="I21">
        <v>79.989999999999995</v>
      </c>
      <c r="J21" t="str">
        <v>Debit Card</v>
      </c>
      <c r="K21" t="str">
        <v>Central</v>
      </c>
      <c r="L21" t="str">
        <v>Basic</v>
      </c>
      <c r="M21">
        <v>44981</v>
      </c>
      <c r="N21">
        <v>399.95</v>
      </c>
    </row>
    <row r="22" spans="1:14" x14ac:dyDescent="0.3">
      <c r="A22" t="str">
        <v>TRX0136</v>
      </c>
      <c r="B22">
        <v>45482</v>
      </c>
      <c r="C22" t="str">
        <v>CUST049</v>
      </c>
      <c r="D22" t="str">
        <v>Raymond Ross</v>
      </c>
      <c r="E22" t="str">
        <v>P005</v>
      </c>
      <c r="F22" t="str">
        <v>Blender</v>
      </c>
      <c r="G22" t="str">
        <v>Appliances</v>
      </c>
      <c r="H22">
        <v>4</v>
      </c>
      <c r="I22">
        <v>59.99</v>
      </c>
      <c r="J22" t="str">
        <v>Cash</v>
      </c>
      <c r="K22" t="str">
        <v>South</v>
      </c>
      <c r="L22" t="str">
        <v>Standard</v>
      </c>
      <c r="M22">
        <v>44509</v>
      </c>
      <c r="N22">
        <v>239.96</v>
      </c>
    </row>
    <row r="23" spans="1:14" x14ac:dyDescent="0.3">
      <c r="A23" t="str">
        <v>TRX0169</v>
      </c>
      <c r="B23">
        <v>45490</v>
      </c>
      <c r="C23" t="str">
        <v>CUST047</v>
      </c>
      <c r="D23" t="str">
        <v>Gerald Murphy</v>
      </c>
      <c r="E23" t="str">
        <v>P005</v>
      </c>
      <c r="F23" t="str">
        <v>Blender</v>
      </c>
      <c r="G23" t="str">
        <v>Appliances</v>
      </c>
      <c r="H23">
        <v>3</v>
      </c>
      <c r="I23">
        <v>59.99</v>
      </c>
      <c r="J23" t="str">
        <v>Credit Card</v>
      </c>
      <c r="K23" t="str">
        <v>West</v>
      </c>
      <c r="L23" t="str">
        <v>Basic</v>
      </c>
      <c r="M23">
        <v>45130</v>
      </c>
      <c r="N23">
        <v>179.97</v>
      </c>
    </row>
    <row r="24" spans="1:14" x14ac:dyDescent="0.3">
      <c r="A24" t="str">
        <v>TRX0006</v>
      </c>
      <c r="B24">
        <v>45498</v>
      </c>
      <c r="C24" t="str">
        <v>CUST007</v>
      </c>
      <c r="D24" t="str">
        <v>David Martinez</v>
      </c>
      <c r="E24" t="str">
        <v>P005</v>
      </c>
      <c r="F24" t="str">
        <v>Blender</v>
      </c>
      <c r="G24" t="str">
        <v>Appliances</v>
      </c>
      <c r="H24">
        <v>2</v>
      </c>
      <c r="I24">
        <v>59.99</v>
      </c>
      <c r="J24" t="str">
        <v>Cash</v>
      </c>
      <c r="K24" t="str">
        <v>North</v>
      </c>
      <c r="L24" t="str">
        <v>Standard</v>
      </c>
      <c r="M24">
        <v>45152</v>
      </c>
      <c r="N24">
        <v>119.98</v>
      </c>
    </row>
    <row r="25" spans="1:14" x14ac:dyDescent="0.3">
      <c r="A25" t="str">
        <v>TRX0001</v>
      </c>
      <c r="B25">
        <v>45528</v>
      </c>
      <c r="C25" t="str">
        <v>CUST039</v>
      </c>
      <c r="D25" t="str">
        <v>Lawrence Reed</v>
      </c>
      <c r="E25" t="str">
        <v>P004</v>
      </c>
      <c r="F25" t="str">
        <v>Coffee Maker</v>
      </c>
      <c r="G25" t="str">
        <v>Appliances</v>
      </c>
      <c r="H25">
        <v>3</v>
      </c>
      <c r="I25">
        <v>79.989999999999995</v>
      </c>
      <c r="J25" t="str">
        <v>Cash</v>
      </c>
      <c r="K25" t="str">
        <v>Central</v>
      </c>
      <c r="L25" t="str">
        <v>Premium</v>
      </c>
      <c r="M25">
        <v>44779</v>
      </c>
      <c r="N25">
        <v>239.97</v>
      </c>
    </row>
    <row r="26" spans="1:14" x14ac:dyDescent="0.3">
      <c r="A26" t="str">
        <v>TRX0100</v>
      </c>
      <c r="B26">
        <v>45541</v>
      </c>
      <c r="C26" t="str">
        <v>CUST031</v>
      </c>
      <c r="D26" t="str">
        <v>Steven Turner</v>
      </c>
      <c r="E26" t="str">
        <v>P005</v>
      </c>
      <c r="F26" t="str">
        <v>Blender</v>
      </c>
      <c r="G26" t="str">
        <v>Appliances</v>
      </c>
      <c r="H26">
        <v>3</v>
      </c>
      <c r="I26">
        <v>59.99</v>
      </c>
      <c r="J26" t="str">
        <v>Credit Card</v>
      </c>
      <c r="K26" t="str">
        <v>Central</v>
      </c>
      <c r="L26" t="str">
        <v>Premium</v>
      </c>
      <c r="M26">
        <v>44717</v>
      </c>
      <c r="N26">
        <v>179.97</v>
      </c>
    </row>
    <row r="27" spans="1:14" x14ac:dyDescent="0.3">
      <c r="A27" t="str">
        <v>TRX0142</v>
      </c>
      <c r="B27">
        <v>45544</v>
      </c>
      <c r="C27" t="str">
        <v>CUST002</v>
      </c>
      <c r="D27" t="str">
        <v>Emma Wilson</v>
      </c>
      <c r="E27" t="str">
        <v>P005</v>
      </c>
      <c r="F27" t="str">
        <v>Blender</v>
      </c>
      <c r="G27" t="str">
        <v>Appliances</v>
      </c>
      <c r="H27">
        <v>3</v>
      </c>
      <c r="I27">
        <v>59.99</v>
      </c>
      <c r="J27" t="str">
        <v>PayPal</v>
      </c>
      <c r="K27" t="str">
        <v>East</v>
      </c>
      <c r="L27" t="str">
        <v>Standard</v>
      </c>
      <c r="M27">
        <v>44748</v>
      </c>
      <c r="N27">
        <v>179.97</v>
      </c>
    </row>
    <row r="28" spans="1:14" x14ac:dyDescent="0.3">
      <c r="A28" t="str">
        <v>TRX0112</v>
      </c>
      <c r="B28">
        <v>45544</v>
      </c>
      <c r="C28" t="str">
        <v>CUST008</v>
      </c>
      <c r="D28" t="str">
        <v>Jennifer Taylor</v>
      </c>
      <c r="E28" t="str">
        <v>P004</v>
      </c>
      <c r="F28" t="str">
        <v>Coffee Maker</v>
      </c>
      <c r="G28" t="str">
        <v>Appliances</v>
      </c>
      <c r="H28">
        <v>4</v>
      </c>
      <c r="I28">
        <v>79.989999999999995</v>
      </c>
      <c r="J28" t="str">
        <v>Cash</v>
      </c>
      <c r="K28" t="str">
        <v>North</v>
      </c>
      <c r="L28" t="str">
        <v>Basic</v>
      </c>
      <c r="M28">
        <v>44530</v>
      </c>
      <c r="N28">
        <v>319.95999999999998</v>
      </c>
    </row>
    <row r="29" spans="1:14" x14ac:dyDescent="0.3">
      <c r="A29" t="str">
        <v>TRX0161</v>
      </c>
      <c r="B29">
        <v>45545</v>
      </c>
      <c r="C29" t="str">
        <v>CUST017</v>
      </c>
      <c r="D29" t="str">
        <v>Charles Allen</v>
      </c>
      <c r="E29" t="str">
        <v>P004</v>
      </c>
      <c r="F29" t="str">
        <v>Coffee Maker</v>
      </c>
      <c r="G29" t="str">
        <v>Appliances</v>
      </c>
      <c r="H29">
        <v>1</v>
      </c>
      <c r="I29">
        <v>79.989999999999995</v>
      </c>
      <c r="J29" t="str">
        <v>Cash</v>
      </c>
      <c r="K29" t="str">
        <v>West</v>
      </c>
      <c r="L29" t="str">
        <v>Basic</v>
      </c>
      <c r="M29">
        <v>44693</v>
      </c>
      <c r="N29">
        <v>79.989999999999995</v>
      </c>
    </row>
    <row r="30" spans="1:14" x14ac:dyDescent="0.3">
      <c r="A30" t="str">
        <v>TRX0146</v>
      </c>
      <c r="B30">
        <v>45572</v>
      </c>
      <c r="C30" t="str">
        <v>CUST010</v>
      </c>
      <c r="D30" t="str">
        <v>Maria Garcia</v>
      </c>
      <c r="E30" t="str">
        <v>P005</v>
      </c>
      <c r="F30" t="str">
        <v>Blender</v>
      </c>
      <c r="G30" t="str">
        <v>Appliances</v>
      </c>
      <c r="H30">
        <v>2</v>
      </c>
      <c r="I30">
        <v>59.99</v>
      </c>
      <c r="J30" t="str">
        <v>Credit Card</v>
      </c>
      <c r="K30" t="str">
        <v>Central</v>
      </c>
      <c r="L30" t="str">
        <v>Basic</v>
      </c>
      <c r="M30">
        <v>44579</v>
      </c>
      <c r="N30">
        <v>119.98</v>
      </c>
    </row>
    <row r="31" spans="1:14" x14ac:dyDescent="0.3">
      <c r="A31" t="str">
        <v>TRX0172</v>
      </c>
      <c r="B31">
        <v>45607</v>
      </c>
      <c r="C31" t="str">
        <v>CUST023</v>
      </c>
      <c r="D31" t="str">
        <v>Paul Baker</v>
      </c>
      <c r="E31" t="str">
        <v>P005</v>
      </c>
      <c r="F31" t="str">
        <v>Blender</v>
      </c>
      <c r="G31" t="str">
        <v>Appliances</v>
      </c>
      <c r="H31">
        <v>5</v>
      </c>
      <c r="I31">
        <v>59.99</v>
      </c>
      <c r="J31" t="str">
        <v>PayPal</v>
      </c>
      <c r="K31" t="str">
        <v>West</v>
      </c>
      <c r="L31" t="str">
        <v>Premium</v>
      </c>
      <c r="M31">
        <v>44694</v>
      </c>
      <c r="N31">
        <v>299.95</v>
      </c>
    </row>
    <row r="32" spans="1:14" x14ac:dyDescent="0.3">
      <c r="A32" t="str">
        <v>TRX0149</v>
      </c>
      <c r="B32">
        <v>45608</v>
      </c>
      <c r="C32" t="str">
        <v>CUST027</v>
      </c>
      <c r="D32" t="str">
        <v>George Adams</v>
      </c>
      <c r="E32" t="str">
        <v>P005</v>
      </c>
      <c r="F32" t="str">
        <v>Blender</v>
      </c>
      <c r="G32" t="str">
        <v>Appliances</v>
      </c>
      <c r="H32">
        <v>3</v>
      </c>
      <c r="I32">
        <v>59.99</v>
      </c>
      <c r="J32" t="str">
        <v>Debit Card</v>
      </c>
      <c r="K32" t="str">
        <v>South</v>
      </c>
      <c r="L32" t="str">
        <v>Standard</v>
      </c>
      <c r="M32">
        <v>45260</v>
      </c>
      <c r="N32">
        <v>179.97</v>
      </c>
    </row>
    <row r="33" spans="1:14" x14ac:dyDescent="0.3">
      <c r="A33" t="str">
        <v>TRX0145</v>
      </c>
      <c r="B33">
        <v>45619</v>
      </c>
      <c r="C33" t="str">
        <v>CUST033</v>
      </c>
      <c r="D33" t="str">
        <v>Frank Torres</v>
      </c>
      <c r="E33" t="str">
        <v>P005</v>
      </c>
      <c r="F33" t="str">
        <v>Blender</v>
      </c>
      <c r="G33" t="str">
        <v>Appliances</v>
      </c>
      <c r="H33">
        <v>1</v>
      </c>
      <c r="I33">
        <v>59.99</v>
      </c>
      <c r="J33" t="str">
        <v>Debit Card</v>
      </c>
      <c r="K33" t="str">
        <v>West</v>
      </c>
      <c r="L33" t="str">
        <v>Standard</v>
      </c>
      <c r="M33">
        <v>44560</v>
      </c>
      <c r="N33">
        <v>59.99</v>
      </c>
    </row>
    <row r="34" spans="1:14" x14ac:dyDescent="0.3">
      <c r="A34" t="str">
        <v>TRX0082</v>
      </c>
      <c r="B34">
        <v>45635</v>
      </c>
      <c r="C34" t="str">
        <v>CUST005</v>
      </c>
      <c r="D34" t="str">
        <v>James Johnson</v>
      </c>
      <c r="E34" t="str">
        <v>P005</v>
      </c>
      <c r="F34" t="str">
        <v>Blender</v>
      </c>
      <c r="G34" t="str">
        <v>Appliances</v>
      </c>
      <c r="H34">
        <v>3</v>
      </c>
      <c r="I34">
        <v>59.99</v>
      </c>
      <c r="J34" t="str">
        <v>Cash</v>
      </c>
      <c r="K34" t="str">
        <v>Central</v>
      </c>
      <c r="L34" t="str">
        <v>Premium</v>
      </c>
      <c r="M34">
        <v>45052</v>
      </c>
      <c r="N34">
        <v>179.97</v>
      </c>
    </row>
    <row r="35" spans="1:14" x14ac:dyDescent="0.3">
      <c r="A35" t="str">
        <v>TRX0036</v>
      </c>
      <c r="B35">
        <v>45635</v>
      </c>
      <c r="C35" t="str">
        <v>CUST008</v>
      </c>
      <c r="D35" t="str">
        <v>Jennifer Taylor</v>
      </c>
      <c r="E35" t="str">
        <v>P004</v>
      </c>
      <c r="F35" t="str">
        <v>Coffee Maker</v>
      </c>
      <c r="G35" t="str">
        <v>Appliances</v>
      </c>
      <c r="H35">
        <v>4</v>
      </c>
      <c r="I35">
        <v>79.989999999999995</v>
      </c>
      <c r="J35" t="str">
        <v>Debit Card</v>
      </c>
      <c r="K35" t="str">
        <v>East</v>
      </c>
      <c r="L35" t="str">
        <v>Standard</v>
      </c>
      <c r="M35">
        <v>44921</v>
      </c>
      <c r="N35">
        <v>319.95999999999998</v>
      </c>
    </row>
    <row r="36" spans="1:14" x14ac:dyDescent="0.3">
      <c r="A36" t="str">
        <v>TRX0198</v>
      </c>
      <c r="B36">
        <v>45636</v>
      </c>
      <c r="C36" t="str">
        <v>CUST030</v>
      </c>
      <c r="D36" t="str">
        <v>Helen Roberts</v>
      </c>
      <c r="E36" t="str">
        <v>P004</v>
      </c>
      <c r="F36" t="str">
        <v>Coffee Maker</v>
      </c>
      <c r="G36" t="str">
        <v>Appliances</v>
      </c>
      <c r="H36">
        <v>3</v>
      </c>
      <c r="I36">
        <v>79.989999999999995</v>
      </c>
      <c r="J36" t="str">
        <v>Debit Card</v>
      </c>
      <c r="K36" t="str">
        <v>East</v>
      </c>
      <c r="L36" t="str">
        <v>Standard</v>
      </c>
      <c r="M36">
        <v>44779</v>
      </c>
      <c r="N36">
        <v>239.97</v>
      </c>
    </row>
    <row r="37" spans="1:14" x14ac:dyDescent="0.3">
      <c r="A37" t="str">
        <v>TRX0028</v>
      </c>
      <c r="B37">
        <v>45644</v>
      </c>
      <c r="C37" t="str">
        <v>CUST002</v>
      </c>
      <c r="D37" t="str">
        <v>Emma Wilson</v>
      </c>
      <c r="E37" t="str">
        <v>P005</v>
      </c>
      <c r="F37" t="str">
        <v>Blender</v>
      </c>
      <c r="G37" t="str">
        <v>Appliances</v>
      </c>
      <c r="H37">
        <v>2</v>
      </c>
      <c r="I37">
        <v>59.99</v>
      </c>
      <c r="J37" t="str">
        <v>Cash</v>
      </c>
      <c r="K37" t="str">
        <v>West</v>
      </c>
      <c r="L37" t="str">
        <v>Basic</v>
      </c>
      <c r="M37">
        <v>45191</v>
      </c>
      <c r="N37">
        <v>119.98</v>
      </c>
    </row>
    <row r="38" spans="1:14" x14ac:dyDescent="0.3">
      <c r="A38" t="str">
        <v>TRX0102</v>
      </c>
      <c r="B38">
        <v>45670</v>
      </c>
      <c r="C38" t="str">
        <v>CUST045</v>
      </c>
      <c r="D38" t="str">
        <v>Douglas Watson</v>
      </c>
      <c r="E38" t="str">
        <v>P004</v>
      </c>
      <c r="F38" t="str">
        <v>Coffee Maker</v>
      </c>
      <c r="G38" t="str">
        <v>Appliances</v>
      </c>
      <c r="H38">
        <v>1</v>
      </c>
      <c r="I38">
        <v>79.989999999999995</v>
      </c>
      <c r="J38" t="str">
        <v>Credit Card</v>
      </c>
      <c r="K38" t="str">
        <v>South</v>
      </c>
      <c r="L38" t="str">
        <v>Basic</v>
      </c>
      <c r="M38">
        <v>45322</v>
      </c>
      <c r="N38">
        <v>79.989999999999995</v>
      </c>
    </row>
    <row r="39" spans="1:14" x14ac:dyDescent="0.3">
      <c r="A39" t="str">
        <v>TRX0110</v>
      </c>
      <c r="B39">
        <v>45676</v>
      </c>
      <c r="C39" t="str">
        <v>CUST006</v>
      </c>
      <c r="D39" t="str">
        <v>Lisa Anderson</v>
      </c>
      <c r="E39" t="str">
        <v>P005</v>
      </c>
      <c r="F39" t="str">
        <v>Blender</v>
      </c>
      <c r="G39" t="str">
        <v>Appliances</v>
      </c>
      <c r="H39">
        <v>5</v>
      </c>
      <c r="I39">
        <v>59.99</v>
      </c>
      <c r="J39" t="str">
        <v>Debit Card</v>
      </c>
      <c r="K39" t="str">
        <v>East</v>
      </c>
      <c r="L39" t="str">
        <v>Basic</v>
      </c>
      <c r="M39">
        <v>44642</v>
      </c>
      <c r="N39">
        <v>299.95</v>
      </c>
    </row>
    <row r="40" spans="1:14" x14ac:dyDescent="0.3">
      <c r="A40" t="str">
        <v>TRX0126</v>
      </c>
      <c r="B40">
        <v>45682</v>
      </c>
      <c r="C40" t="str">
        <v>CUST022</v>
      </c>
      <c r="D40" t="str">
        <v>Susan Green</v>
      </c>
      <c r="E40" t="str">
        <v>P005</v>
      </c>
      <c r="F40" t="str">
        <v>Blender</v>
      </c>
      <c r="G40" t="str">
        <v>Appliances</v>
      </c>
      <c r="H40">
        <v>4</v>
      </c>
      <c r="I40">
        <v>59.99</v>
      </c>
      <c r="J40" t="str">
        <v>Debit Card</v>
      </c>
      <c r="K40" t="str">
        <v>East</v>
      </c>
      <c r="L40" t="str">
        <v>Standard</v>
      </c>
      <c r="M40">
        <v>44564</v>
      </c>
      <c r="N40">
        <v>239.96</v>
      </c>
    </row>
    <row r="41" spans="1:14" x14ac:dyDescent="0.3">
      <c r="A41" t="str">
        <v>TRX0219</v>
      </c>
      <c r="B41">
        <v>45692</v>
      </c>
      <c r="C41" t="str">
        <v>CUST037</v>
      </c>
      <c r="D41" t="str">
        <v>Arthur Edwards</v>
      </c>
      <c r="E41" t="str">
        <v>P005</v>
      </c>
      <c r="F41" t="str">
        <v>Blender</v>
      </c>
      <c r="G41" t="str">
        <v>Appliances</v>
      </c>
      <c r="H41">
        <v>1</v>
      </c>
      <c r="I41">
        <v>59.99</v>
      </c>
      <c r="J41" t="str">
        <v>Debit Card</v>
      </c>
      <c r="K41" t="str">
        <v>Central</v>
      </c>
      <c r="L41" t="str">
        <v>Standard</v>
      </c>
      <c r="M41">
        <v>45045</v>
      </c>
      <c r="N41">
        <v>59.99</v>
      </c>
    </row>
    <row r="42" spans="1:14" x14ac:dyDescent="0.3">
      <c r="A42" t="str">
        <v>TRX0011</v>
      </c>
      <c r="B42">
        <v>45696</v>
      </c>
      <c r="C42" t="str">
        <v>CUST040</v>
      </c>
      <c r="D42" t="str">
        <v>Sharon Butler</v>
      </c>
      <c r="E42" t="str">
        <v>P005</v>
      </c>
      <c r="F42" t="str">
        <v>Blender</v>
      </c>
      <c r="G42" t="str">
        <v>Appliances</v>
      </c>
      <c r="H42">
        <v>5</v>
      </c>
      <c r="I42">
        <v>59.99</v>
      </c>
      <c r="J42" t="str">
        <v>Debit Card</v>
      </c>
      <c r="K42" t="str">
        <v>Central</v>
      </c>
      <c r="L42" t="str">
        <v>Standard</v>
      </c>
      <c r="M42">
        <v>45177</v>
      </c>
      <c r="N42">
        <v>299.95</v>
      </c>
    </row>
    <row r="43" spans="1:14" x14ac:dyDescent="0.3">
      <c r="A43" t="str">
        <v>TRX0187</v>
      </c>
      <c r="B43">
        <v>45701</v>
      </c>
      <c r="C43" t="str">
        <v>CUST036</v>
      </c>
      <c r="D43" t="str">
        <v>Nancy Collins</v>
      </c>
      <c r="E43" t="str">
        <v>P004</v>
      </c>
      <c r="F43" t="str">
        <v>Coffee Maker</v>
      </c>
      <c r="G43" t="str">
        <v>Appliances</v>
      </c>
      <c r="H43">
        <v>3</v>
      </c>
      <c r="I43">
        <v>79.989999999999995</v>
      </c>
      <c r="J43" t="str">
        <v>Cash</v>
      </c>
      <c r="K43" t="str">
        <v>East</v>
      </c>
      <c r="L43" t="str">
        <v>Premium</v>
      </c>
      <c r="M43">
        <v>44436</v>
      </c>
      <c r="N43">
        <v>239.97</v>
      </c>
    </row>
    <row r="44" spans="1:14" x14ac:dyDescent="0.3">
      <c r="A44" t="str">
        <v>TRX0229</v>
      </c>
      <c r="B44">
        <v>45715</v>
      </c>
      <c r="C44" t="str">
        <v>CUST015</v>
      </c>
      <c r="D44" t="str">
        <v>Richard Lee</v>
      </c>
      <c r="E44" t="str">
        <v>P005</v>
      </c>
      <c r="F44" t="str">
        <v>Blender</v>
      </c>
      <c r="G44" t="str">
        <v>Appliances</v>
      </c>
      <c r="H44">
        <v>4</v>
      </c>
      <c r="I44">
        <v>59.99</v>
      </c>
      <c r="J44" t="str">
        <v>Cash</v>
      </c>
      <c r="K44" t="str">
        <v>West</v>
      </c>
      <c r="L44" t="str">
        <v>Standard</v>
      </c>
      <c r="M44">
        <v>45070</v>
      </c>
      <c r="N44">
        <v>239.96</v>
      </c>
    </row>
    <row r="45" spans="1:14" x14ac:dyDescent="0.3">
      <c r="A45" t="str">
        <v>TRX0053</v>
      </c>
      <c r="B45">
        <v>45721</v>
      </c>
      <c r="C45" t="str">
        <v>CUST043</v>
      </c>
      <c r="D45" t="str">
        <v>Dennis Gray</v>
      </c>
      <c r="E45" t="str">
        <v>P005</v>
      </c>
      <c r="F45" t="str">
        <v>Blender</v>
      </c>
      <c r="G45" t="str">
        <v>Appliances</v>
      </c>
      <c r="H45">
        <v>5</v>
      </c>
      <c r="I45">
        <v>59.99</v>
      </c>
      <c r="J45" t="str">
        <v>Cash</v>
      </c>
      <c r="K45" t="str">
        <v>West</v>
      </c>
      <c r="L45" t="str">
        <v>Premium</v>
      </c>
      <c r="M45">
        <v>45291</v>
      </c>
      <c r="N45">
        <v>299.95</v>
      </c>
    </row>
    <row r="46" spans="1:14" x14ac:dyDescent="0.3">
      <c r="A46" t="str">
        <v>TRX0014</v>
      </c>
      <c r="B46">
        <v>45734</v>
      </c>
      <c r="C46" t="str">
        <v>CUST033</v>
      </c>
      <c r="D46" t="str">
        <v>Frank Torres</v>
      </c>
      <c r="E46" t="str">
        <v>P005</v>
      </c>
      <c r="F46" t="str">
        <v>Blender</v>
      </c>
      <c r="G46" t="str">
        <v>Appliances</v>
      </c>
      <c r="H46">
        <v>2</v>
      </c>
      <c r="I46">
        <v>59.99</v>
      </c>
      <c r="J46" t="str">
        <v>Credit Card</v>
      </c>
      <c r="K46" t="str">
        <v>West</v>
      </c>
      <c r="L46" t="str">
        <v>Basic</v>
      </c>
      <c r="M46">
        <v>45193</v>
      </c>
      <c r="N46">
        <v>119.98</v>
      </c>
    </row>
    <row r="47" spans="1:14" x14ac:dyDescent="0.3">
      <c r="A47" t="str">
        <v>TRX0152</v>
      </c>
      <c r="B47">
        <v>45743</v>
      </c>
      <c r="C47" t="str">
        <v>CUST044</v>
      </c>
      <c r="D47" t="str">
        <v>Cynthia Price</v>
      </c>
      <c r="E47" t="str">
        <v>P004</v>
      </c>
      <c r="F47" t="str">
        <v>Coffee Maker</v>
      </c>
      <c r="G47" t="str">
        <v>Appliances</v>
      </c>
      <c r="H47">
        <v>4</v>
      </c>
      <c r="I47">
        <v>79.989999999999995</v>
      </c>
      <c r="J47" t="str">
        <v>Credit Card</v>
      </c>
      <c r="K47" t="str">
        <v>Central</v>
      </c>
      <c r="L47" t="str">
        <v>Basic</v>
      </c>
      <c r="M47">
        <v>45288</v>
      </c>
      <c r="N47">
        <v>319.95999999999998</v>
      </c>
    </row>
    <row r="48" spans="1:14" x14ac:dyDescent="0.3">
      <c r="A48" t="str">
        <v>TRX0039</v>
      </c>
      <c r="B48">
        <v>45755</v>
      </c>
      <c r="C48" t="str">
        <v>CUST048</v>
      </c>
      <c r="D48" t="str">
        <v>Virginia Sanders</v>
      </c>
      <c r="E48" t="str">
        <v>P004</v>
      </c>
      <c r="F48" t="str">
        <v>Coffee Maker</v>
      </c>
      <c r="G48" t="str">
        <v>Appliances</v>
      </c>
      <c r="H48">
        <v>3</v>
      </c>
      <c r="I48">
        <v>79.989999999999995</v>
      </c>
      <c r="J48" t="str">
        <v>Credit Card</v>
      </c>
      <c r="K48" t="str">
        <v>North</v>
      </c>
      <c r="L48" t="str">
        <v>Basic</v>
      </c>
      <c r="M48">
        <v>44511</v>
      </c>
      <c r="N48">
        <v>239.97</v>
      </c>
    </row>
    <row r="81" spans="4:4" x14ac:dyDescent="0.3">
      <c r="D81" s="15" t="s">
        <v>21</v>
      </c>
    </row>
    <row r="82" spans="4:4" x14ac:dyDescent="0.3">
      <c r="D82" s="16" t="s">
        <v>35</v>
      </c>
    </row>
    <row r="83" spans="4:4" x14ac:dyDescent="0.3">
      <c r="D83" s="15" t="s">
        <v>48</v>
      </c>
    </row>
    <row r="111" spans="4:4" x14ac:dyDescent="0.3">
      <c r="D111" s="14"/>
    </row>
  </sheetData>
  <dataValidations count="1">
    <dataValidation type="list" allowBlank="1" showInputMessage="1" showErrorMessage="1" sqref="A3:B3" xr:uid="{5DD2BE70-64BD-468E-ADF3-F9A599A480FE}">
      <formula1>$D$81:$D$83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5152D-0522-4CD7-A786-2CB3AB6D9693}">
  <dimension ref="A2:Q16"/>
  <sheetViews>
    <sheetView workbookViewId="0">
      <selection sqref="A1:Q16"/>
    </sheetView>
  </sheetViews>
  <sheetFormatPr defaultRowHeight="14.4" x14ac:dyDescent="0.3"/>
  <sheetData>
    <row r="2" spans="1:17" x14ac:dyDescent="0.3">
      <c r="A2" s="12" t="s">
        <v>452</v>
      </c>
      <c r="B2" s="12" t="s">
        <v>34</v>
      </c>
      <c r="D2" s="12" t="s">
        <v>452</v>
      </c>
      <c r="E2" s="12" t="s">
        <v>47</v>
      </c>
      <c r="G2" s="12" t="s">
        <v>452</v>
      </c>
      <c r="H2" s="12" t="s">
        <v>117</v>
      </c>
      <c r="J2" s="12" t="s">
        <v>452</v>
      </c>
      <c r="K2" s="12" t="s">
        <v>108</v>
      </c>
      <c r="M2" s="12" t="s">
        <v>452</v>
      </c>
      <c r="N2" s="12" t="s">
        <v>55</v>
      </c>
      <c r="P2" s="12" t="s">
        <v>452</v>
      </c>
      <c r="Q2" s="12" t="s">
        <v>120</v>
      </c>
    </row>
    <row r="3" spans="1:17" x14ac:dyDescent="0.3">
      <c r="A3" s="12" t="s">
        <v>453</v>
      </c>
      <c r="B3" s="12">
        <v>87</v>
      </c>
      <c r="D3" s="12" t="s">
        <v>453</v>
      </c>
      <c r="E3" s="12">
        <v>102</v>
      </c>
      <c r="G3" s="12" t="s">
        <v>453</v>
      </c>
      <c r="H3" s="12">
        <v>39</v>
      </c>
      <c r="J3" s="12" t="s">
        <v>453</v>
      </c>
      <c r="K3" s="12">
        <v>78</v>
      </c>
      <c r="M3" s="12" t="s">
        <v>453</v>
      </c>
      <c r="N3" s="12">
        <v>47</v>
      </c>
      <c r="P3" s="12" t="s">
        <v>453</v>
      </c>
      <c r="Q3" s="12">
        <v>89</v>
      </c>
    </row>
    <row r="4" spans="1:17" x14ac:dyDescent="0.3">
      <c r="A4" s="12" t="s">
        <v>454</v>
      </c>
      <c r="B4" s="12">
        <v>59.99</v>
      </c>
      <c r="D4" s="12" t="s">
        <v>454</v>
      </c>
      <c r="E4" s="12">
        <v>149.99</v>
      </c>
      <c r="G4" s="12" t="s">
        <v>454</v>
      </c>
      <c r="H4" s="12">
        <v>79.989999999999995</v>
      </c>
      <c r="J4" s="12" t="s">
        <v>454</v>
      </c>
      <c r="K4" s="12">
        <v>299.99</v>
      </c>
      <c r="M4" s="12" t="s">
        <v>454</v>
      </c>
      <c r="N4" s="12">
        <v>149.99</v>
      </c>
      <c r="P4" s="12" t="s">
        <v>454</v>
      </c>
      <c r="Q4" s="12">
        <v>89.99</v>
      </c>
    </row>
    <row r="5" spans="1:17" x14ac:dyDescent="0.3">
      <c r="A5" s="12" t="s">
        <v>455</v>
      </c>
      <c r="B5" s="12">
        <f>B4*B3</f>
        <v>5219.13</v>
      </c>
      <c r="D5" s="12" t="s">
        <v>455</v>
      </c>
      <c r="E5" s="12">
        <f>E4*E3</f>
        <v>15298.980000000001</v>
      </c>
      <c r="G5" s="12" t="s">
        <v>455</v>
      </c>
      <c r="H5" s="12">
        <f>H4*H3</f>
        <v>3119.6099999999997</v>
      </c>
      <c r="J5" s="12" t="s">
        <v>455</v>
      </c>
      <c r="K5" s="12">
        <f>K4*K3</f>
        <v>23399.22</v>
      </c>
      <c r="M5" s="12" t="s">
        <v>455</v>
      </c>
      <c r="N5" s="12">
        <f>N4*N3</f>
        <v>7049.5300000000007</v>
      </c>
      <c r="P5" s="12" t="s">
        <v>455</v>
      </c>
      <c r="Q5" s="12">
        <f>Q4*Q3</f>
        <v>8009.11</v>
      </c>
    </row>
    <row r="6" spans="1:17" x14ac:dyDescent="0.3">
      <c r="A6" s="12" t="s">
        <v>456</v>
      </c>
      <c r="B6" s="13">
        <v>0.1</v>
      </c>
      <c r="D6" s="12" t="s">
        <v>456</v>
      </c>
      <c r="E6" s="13">
        <v>0.2</v>
      </c>
      <c r="G6" s="12" t="s">
        <v>456</v>
      </c>
      <c r="H6" s="13">
        <v>0.08</v>
      </c>
      <c r="J6" s="12" t="s">
        <v>456</v>
      </c>
      <c r="K6" s="13">
        <v>0.15</v>
      </c>
      <c r="M6" s="12" t="s">
        <v>456</v>
      </c>
      <c r="N6" s="13">
        <v>8.5000000000000006E-2</v>
      </c>
      <c r="P6" s="12" t="s">
        <v>456</v>
      </c>
      <c r="Q6" s="13">
        <v>0.12</v>
      </c>
    </row>
    <row r="7" spans="1:17" x14ac:dyDescent="0.3">
      <c r="A7" s="12" t="s">
        <v>457</v>
      </c>
      <c r="B7" s="12">
        <f>B5*B6</f>
        <v>521.91300000000001</v>
      </c>
      <c r="D7" s="12" t="s">
        <v>457</v>
      </c>
      <c r="E7" s="12">
        <f>E5*E6</f>
        <v>3059.7960000000003</v>
      </c>
      <c r="G7" s="12" t="s">
        <v>457</v>
      </c>
      <c r="H7" s="12">
        <f>H5*H6</f>
        <v>249.56879999999998</v>
      </c>
      <c r="J7" s="12" t="s">
        <v>457</v>
      </c>
      <c r="K7" s="12">
        <f>K5*K6</f>
        <v>3509.8830000000003</v>
      </c>
      <c r="M7" s="12" t="s">
        <v>457</v>
      </c>
      <c r="N7" s="12">
        <f>N5*N6</f>
        <v>599.21005000000014</v>
      </c>
      <c r="P7" s="12" t="s">
        <v>457</v>
      </c>
      <c r="Q7" s="12">
        <f>Q5*Q6</f>
        <v>961.09319999999991</v>
      </c>
    </row>
    <row r="8" spans="1:17" x14ac:dyDescent="0.3">
      <c r="A8" s="12" t="s">
        <v>458</v>
      </c>
      <c r="B8" s="12">
        <f>B5-B7</f>
        <v>4697.2170000000006</v>
      </c>
      <c r="D8" s="12" t="s">
        <v>458</v>
      </c>
      <c r="E8" s="12">
        <f>E5-E7</f>
        <v>12239.184000000001</v>
      </c>
      <c r="G8" s="12" t="s">
        <v>458</v>
      </c>
      <c r="H8" s="12">
        <f>H5-H7</f>
        <v>2870.0411999999997</v>
      </c>
      <c r="J8" s="12" t="s">
        <v>458</v>
      </c>
      <c r="K8" s="12">
        <f>K5-K7</f>
        <v>19889.337</v>
      </c>
      <c r="M8" s="12" t="s">
        <v>458</v>
      </c>
      <c r="N8" s="12">
        <f>N5-N7</f>
        <v>6450.319950000001</v>
      </c>
      <c r="P8" s="12" t="s">
        <v>458</v>
      </c>
      <c r="Q8" s="12">
        <f>Q5-Q7</f>
        <v>7048.0167999999994</v>
      </c>
    </row>
    <row r="10" spans="1:17" x14ac:dyDescent="0.3">
      <c r="A10" s="12" t="s">
        <v>452</v>
      </c>
      <c r="B10" s="12" t="s">
        <v>64</v>
      </c>
      <c r="D10" s="12" t="s">
        <v>452</v>
      </c>
      <c r="E10" s="12" t="s">
        <v>20</v>
      </c>
      <c r="G10" s="12" t="s">
        <v>452</v>
      </c>
      <c r="H10" s="12" t="s">
        <v>129</v>
      </c>
      <c r="J10" s="12" t="s">
        <v>452</v>
      </c>
      <c r="K10" s="12" t="s">
        <v>129</v>
      </c>
      <c r="M10" s="12" t="s">
        <v>452</v>
      </c>
      <c r="N10" s="12" t="s">
        <v>83</v>
      </c>
    </row>
    <row r="11" spans="1:17" x14ac:dyDescent="0.3">
      <c r="A11" s="12" t="s">
        <v>453</v>
      </c>
      <c r="B11" s="12">
        <v>75</v>
      </c>
      <c r="D11" s="12" t="s">
        <v>453</v>
      </c>
      <c r="E11" s="12">
        <v>88</v>
      </c>
      <c r="G11" s="12" t="s">
        <v>453</v>
      </c>
      <c r="H11" s="12">
        <v>52</v>
      </c>
      <c r="J11" s="12" t="s">
        <v>453</v>
      </c>
      <c r="K11" s="12">
        <v>52</v>
      </c>
      <c r="M11" s="12" t="s">
        <v>453</v>
      </c>
      <c r="N11" s="12">
        <v>96</v>
      </c>
    </row>
    <row r="12" spans="1:17" x14ac:dyDescent="0.3">
      <c r="A12" s="12" t="s">
        <v>454</v>
      </c>
      <c r="B12" s="12">
        <v>899.99</v>
      </c>
      <c r="D12" s="12" t="s">
        <v>454</v>
      </c>
      <c r="E12" s="12">
        <v>249.99</v>
      </c>
      <c r="G12" s="12" t="s">
        <v>454</v>
      </c>
      <c r="H12" s="12">
        <v>199.99</v>
      </c>
      <c r="J12" s="12" t="s">
        <v>454</v>
      </c>
      <c r="K12" s="12">
        <v>199.99</v>
      </c>
      <c r="M12" s="12" t="s">
        <v>454</v>
      </c>
      <c r="N12" s="12">
        <v>699.99</v>
      </c>
    </row>
    <row r="13" spans="1:17" x14ac:dyDescent="0.3">
      <c r="A13" s="12" t="s">
        <v>455</v>
      </c>
      <c r="B13" s="12">
        <f>B12*B11</f>
        <v>67499.25</v>
      </c>
      <c r="D13" s="12" t="s">
        <v>455</v>
      </c>
      <c r="E13" s="12">
        <f>E12*E11</f>
        <v>21999.120000000003</v>
      </c>
      <c r="G13" s="12" t="s">
        <v>455</v>
      </c>
      <c r="H13" s="12">
        <f>H12*H11</f>
        <v>10399.48</v>
      </c>
      <c r="J13" s="12" t="s">
        <v>455</v>
      </c>
      <c r="K13" s="12">
        <f>K12*K11</f>
        <v>10399.48</v>
      </c>
      <c r="M13" s="12" t="s">
        <v>455</v>
      </c>
      <c r="N13" s="12">
        <f>N12*N11</f>
        <v>67199.040000000008</v>
      </c>
    </row>
    <row r="14" spans="1:17" x14ac:dyDescent="0.3">
      <c r="A14" s="12" t="s">
        <v>456</v>
      </c>
      <c r="B14" s="13">
        <v>0.25</v>
      </c>
      <c r="D14" s="12" t="s">
        <v>456</v>
      </c>
      <c r="E14" s="13">
        <v>0.05</v>
      </c>
      <c r="G14" s="12" t="s">
        <v>456</v>
      </c>
      <c r="H14" s="13">
        <v>0.08</v>
      </c>
      <c r="J14" s="12" t="s">
        <v>456</v>
      </c>
      <c r="K14" s="13">
        <v>0.2</v>
      </c>
      <c r="M14" s="12" t="s">
        <v>456</v>
      </c>
      <c r="N14" s="13">
        <v>0.2</v>
      </c>
    </row>
    <row r="15" spans="1:17" x14ac:dyDescent="0.3">
      <c r="A15" s="12" t="s">
        <v>457</v>
      </c>
      <c r="B15" s="12">
        <f>B13*B14</f>
        <v>16874.8125</v>
      </c>
      <c r="D15" s="12" t="s">
        <v>457</v>
      </c>
      <c r="E15" s="12">
        <f>E13*E14</f>
        <v>1099.9560000000001</v>
      </c>
      <c r="G15" s="12" t="s">
        <v>457</v>
      </c>
      <c r="H15" s="12">
        <f>H13*H14</f>
        <v>831.95839999999998</v>
      </c>
      <c r="J15" s="12" t="s">
        <v>457</v>
      </c>
      <c r="K15" s="12">
        <f>K13*K14</f>
        <v>2079.8960000000002</v>
      </c>
      <c r="M15" s="12" t="s">
        <v>457</v>
      </c>
      <c r="N15" s="12">
        <f>N13*N14</f>
        <v>13439.808000000003</v>
      </c>
    </row>
    <row r="16" spans="1:17" x14ac:dyDescent="0.3">
      <c r="A16" s="12" t="s">
        <v>458</v>
      </c>
      <c r="B16" s="12">
        <f>B13-B15</f>
        <v>50624.4375</v>
      </c>
      <c r="D16" s="12" t="s">
        <v>458</v>
      </c>
      <c r="E16" s="12">
        <f>E13-E15</f>
        <v>20899.164000000004</v>
      </c>
      <c r="G16" s="12" t="s">
        <v>458</v>
      </c>
      <c r="H16" s="12">
        <f>H13-H15</f>
        <v>9567.5216</v>
      </c>
      <c r="J16" s="12" t="s">
        <v>458</v>
      </c>
      <c r="K16" s="12">
        <f>K13-K15</f>
        <v>8319.5839999999989</v>
      </c>
      <c r="M16" s="12" t="s">
        <v>458</v>
      </c>
      <c r="N16" s="12">
        <f>N13-N15</f>
        <v>53759.232000000004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71BE5-EC35-4333-9B50-9C32891F9FE9}">
  <dimension ref="A1:B15"/>
  <sheetViews>
    <sheetView workbookViewId="0">
      <selection activeCell="G24" sqref="G24"/>
    </sheetView>
  </sheetViews>
  <sheetFormatPr defaultRowHeight="14.4" x14ac:dyDescent="0.3"/>
  <sheetData>
    <row r="1" spans="1:2" x14ac:dyDescent="0.3">
      <c r="A1" s="23" t="s">
        <v>427</v>
      </c>
      <c r="B1" s="23"/>
    </row>
    <row r="3" spans="1:2" x14ac:dyDescent="0.3">
      <c r="A3" t="s">
        <v>414</v>
      </c>
      <c r="B3">
        <v>296.67000000000007</v>
      </c>
    </row>
    <row r="4" spans="1:2" x14ac:dyDescent="0.3">
      <c r="A4" t="s">
        <v>415</v>
      </c>
      <c r="B4">
        <v>17.38168005707238</v>
      </c>
    </row>
    <row r="5" spans="1:2" x14ac:dyDescent="0.3">
      <c r="A5" t="s">
        <v>416</v>
      </c>
      <c r="B5">
        <v>149.99</v>
      </c>
    </row>
    <row r="6" spans="1:2" x14ac:dyDescent="0.3">
      <c r="A6" t="s">
        <v>417</v>
      </c>
      <c r="B6">
        <v>149.99</v>
      </c>
    </row>
    <row r="7" spans="1:2" x14ac:dyDescent="0.3">
      <c r="A7" t="s">
        <v>418</v>
      </c>
      <c r="B7">
        <v>274.82849270337113</v>
      </c>
    </row>
    <row r="8" spans="1:2" x14ac:dyDescent="0.3">
      <c r="A8" t="s">
        <v>419</v>
      </c>
      <c r="B8">
        <v>75530.700401606926</v>
      </c>
    </row>
    <row r="9" spans="1:2" x14ac:dyDescent="0.3">
      <c r="A9" t="s">
        <v>420</v>
      </c>
      <c r="B9">
        <v>-1.1870639619440126E-3</v>
      </c>
    </row>
    <row r="10" spans="1:2" x14ac:dyDescent="0.3">
      <c r="A10" t="s">
        <v>421</v>
      </c>
      <c r="B10">
        <v>1.2287171928821725</v>
      </c>
    </row>
    <row r="11" spans="1:2" x14ac:dyDescent="0.3">
      <c r="A11" t="s">
        <v>422</v>
      </c>
      <c r="B11">
        <v>840</v>
      </c>
    </row>
    <row r="12" spans="1:2" x14ac:dyDescent="0.3">
      <c r="A12" t="s">
        <v>423</v>
      </c>
      <c r="B12">
        <v>59.99</v>
      </c>
    </row>
    <row r="13" spans="1:2" x14ac:dyDescent="0.3">
      <c r="A13" t="s">
        <v>424</v>
      </c>
      <c r="B13">
        <v>899.99</v>
      </c>
    </row>
    <row r="14" spans="1:2" x14ac:dyDescent="0.3">
      <c r="A14" t="s">
        <v>425</v>
      </c>
      <c r="B14">
        <v>74167.500000000015</v>
      </c>
    </row>
    <row r="15" spans="1:2" ht="15" thickBot="1" x14ac:dyDescent="0.35">
      <c r="A15" s="9" t="s">
        <v>426</v>
      </c>
      <c r="B15" s="9">
        <v>250</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4070A-A4EB-40E4-B638-9273EFFDFBD7}">
  <dimension ref="A1:I18"/>
  <sheetViews>
    <sheetView workbookViewId="0">
      <selection sqref="A1:I21"/>
    </sheetView>
  </sheetViews>
  <sheetFormatPr defaultRowHeight="14.4" x14ac:dyDescent="0.3"/>
  <sheetData>
    <row r="1" spans="1:9" x14ac:dyDescent="0.3">
      <c r="A1" t="s">
        <v>428</v>
      </c>
    </row>
    <row r="2" spans="1:9" ht="15" thickBot="1" x14ac:dyDescent="0.35"/>
    <row r="3" spans="1:9" x14ac:dyDescent="0.3">
      <c r="A3" s="11" t="s">
        <v>429</v>
      </c>
      <c r="B3" s="11"/>
    </row>
    <row r="4" spans="1:9" x14ac:dyDescent="0.3">
      <c r="A4" t="s">
        <v>430</v>
      </c>
      <c r="B4">
        <v>0.83544893212536453</v>
      </c>
    </row>
    <row r="5" spans="1:9" x14ac:dyDescent="0.3">
      <c r="A5" t="s">
        <v>431</v>
      </c>
      <c r="B5">
        <v>0.69797491818941204</v>
      </c>
    </row>
    <row r="6" spans="1:9" x14ac:dyDescent="0.3">
      <c r="A6" t="s">
        <v>432</v>
      </c>
      <c r="B6">
        <v>0.69675707511759521</v>
      </c>
    </row>
    <row r="7" spans="1:9" x14ac:dyDescent="0.3">
      <c r="A7" t="s">
        <v>415</v>
      </c>
      <c r="B7">
        <v>151.34117254798738</v>
      </c>
    </row>
    <row r="8" spans="1:9" ht="15" thickBot="1" x14ac:dyDescent="0.35">
      <c r="A8" s="9" t="s">
        <v>433</v>
      </c>
      <c r="B8" s="9">
        <v>250</v>
      </c>
    </row>
    <row r="10" spans="1:9" ht="15" thickBot="1" x14ac:dyDescent="0.35">
      <c r="A10" t="s">
        <v>434</v>
      </c>
    </row>
    <row r="11" spans="1:9" x14ac:dyDescent="0.3">
      <c r="A11" s="10"/>
      <c r="B11" s="10" t="s">
        <v>439</v>
      </c>
      <c r="C11" s="10" t="s">
        <v>440</v>
      </c>
      <c r="D11" s="10" t="s">
        <v>441</v>
      </c>
      <c r="E11" s="10" t="s">
        <v>442</v>
      </c>
      <c r="F11" s="10" t="s">
        <v>443</v>
      </c>
    </row>
    <row r="12" spans="1:9" x14ac:dyDescent="0.3">
      <c r="A12" t="s">
        <v>435</v>
      </c>
      <c r="B12">
        <v>1</v>
      </c>
      <c r="C12">
        <v>13126915.07396641</v>
      </c>
      <c r="D12">
        <v>13126915.07396641</v>
      </c>
      <c r="E12">
        <v>573.12385671177697</v>
      </c>
      <c r="F12">
        <v>2.027408795377937E-66</v>
      </c>
    </row>
    <row r="13" spans="1:9" x14ac:dyDescent="0.3">
      <c r="A13" t="s">
        <v>436</v>
      </c>
      <c r="B13">
        <v>248</v>
      </c>
      <c r="C13">
        <v>5680229.3260335224</v>
      </c>
      <c r="D13">
        <v>22904.150508199687</v>
      </c>
    </row>
    <row r="14" spans="1:9" ht="15" thickBot="1" x14ac:dyDescent="0.35">
      <c r="A14" s="9" t="s">
        <v>437</v>
      </c>
      <c r="B14" s="9">
        <v>249</v>
      </c>
      <c r="C14" s="9">
        <v>18807144.399999931</v>
      </c>
      <c r="D14" s="9"/>
      <c r="E14" s="9"/>
      <c r="F14" s="9"/>
    </row>
    <row r="15" spans="1:9" ht="15" thickBot="1" x14ac:dyDescent="0.35"/>
    <row r="16" spans="1:9" x14ac:dyDescent="0.3">
      <c r="A16" s="10"/>
      <c r="B16" s="10" t="s">
        <v>444</v>
      </c>
      <c r="C16" s="10" t="s">
        <v>415</v>
      </c>
      <c r="D16" s="10" t="s">
        <v>445</v>
      </c>
      <c r="E16" s="10" t="s">
        <v>446</v>
      </c>
      <c r="F16" s="10" t="s">
        <v>447</v>
      </c>
      <c r="G16" s="10" t="s">
        <v>448</v>
      </c>
      <c r="H16" s="10" t="s">
        <v>449</v>
      </c>
      <c r="I16" s="10" t="s">
        <v>450</v>
      </c>
    </row>
    <row r="17" spans="1:9" x14ac:dyDescent="0.3">
      <c r="A17" t="s">
        <v>438</v>
      </c>
      <c r="B17">
        <v>92.791388119195261</v>
      </c>
      <c r="C17">
        <v>12.8118222626431</v>
      </c>
      <c r="D17">
        <v>7.2426377932011876</v>
      </c>
      <c r="E17">
        <v>5.5287237696712266E-12</v>
      </c>
      <c r="F17">
        <v>67.557534912108537</v>
      </c>
      <c r="G17">
        <v>118.02524132628199</v>
      </c>
      <c r="H17">
        <v>67.557534912108537</v>
      </c>
      <c r="I17">
        <v>118.02524132628199</v>
      </c>
    </row>
    <row r="18" spans="1:9" ht="15" thickBot="1" x14ac:dyDescent="0.35">
      <c r="A18" s="9" t="s">
        <v>451</v>
      </c>
      <c r="B18" s="9">
        <v>0.22238799106358567</v>
      </c>
      <c r="C18" s="9">
        <v>9.2893876883010148E-3</v>
      </c>
      <c r="D18" s="9">
        <v>23.940005361565373</v>
      </c>
      <c r="E18" s="9">
        <v>2.0274087953774173E-66</v>
      </c>
      <c r="F18" s="9">
        <v>0.20409183923561394</v>
      </c>
      <c r="G18" s="9">
        <v>0.2406841428915574</v>
      </c>
      <c r="H18" s="9">
        <v>0.20409183923561394</v>
      </c>
      <c r="I18" s="9">
        <v>0.2406841428915574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04370-BCAA-4B97-8A07-AEEC98B9D4A7}">
  <dimension ref="A3:B7"/>
  <sheetViews>
    <sheetView workbookViewId="0">
      <selection activeCell="B14" sqref="B14"/>
    </sheetView>
  </sheetViews>
  <sheetFormatPr defaultRowHeight="14.4" x14ac:dyDescent="0.3"/>
  <cols>
    <col min="1" max="1" width="12.5546875" bestFit="1" customWidth="1"/>
    <col min="2" max="2" width="19.77734375" bestFit="1" customWidth="1"/>
  </cols>
  <sheetData>
    <row r="3" spans="1:2" x14ac:dyDescent="0.3">
      <c r="A3" s="7" t="s">
        <v>401</v>
      </c>
      <c r="B3" t="s">
        <v>403</v>
      </c>
    </row>
    <row r="4" spans="1:2" x14ac:dyDescent="0.3">
      <c r="A4" s="8" t="s">
        <v>35</v>
      </c>
      <c r="B4">
        <v>8338.7399999999961</v>
      </c>
    </row>
    <row r="5" spans="1:2" x14ac:dyDescent="0.3">
      <c r="A5" s="8" t="s">
        <v>21</v>
      </c>
      <c r="B5">
        <v>171756.05000000013</v>
      </c>
    </row>
    <row r="6" spans="1:2" x14ac:dyDescent="0.3">
      <c r="A6" s="8" t="s">
        <v>48</v>
      </c>
      <c r="B6">
        <v>49097.680000000015</v>
      </c>
    </row>
    <row r="7" spans="1:2" x14ac:dyDescent="0.3">
      <c r="A7" s="8" t="s">
        <v>402</v>
      </c>
      <c r="B7">
        <v>229192.47000000015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58D78-B866-47A4-A413-AEAB43D8A3F8}">
  <dimension ref="A3:B8"/>
  <sheetViews>
    <sheetView workbookViewId="0">
      <selection activeCell="I19" sqref="I19"/>
    </sheetView>
  </sheetViews>
  <sheetFormatPr defaultRowHeight="14.4" x14ac:dyDescent="0.3"/>
  <cols>
    <col min="1" max="1" width="12.5546875" bestFit="1" customWidth="1"/>
    <col min="2" max="2" width="19.77734375" bestFit="1" customWidth="1"/>
  </cols>
  <sheetData>
    <row r="3" spans="1:2" x14ac:dyDescent="0.3">
      <c r="A3" s="7" t="s">
        <v>401</v>
      </c>
      <c r="B3" t="s">
        <v>403</v>
      </c>
    </row>
    <row r="4" spans="1:2" x14ac:dyDescent="0.3">
      <c r="A4" s="8" t="s">
        <v>22</v>
      </c>
      <c r="B4">
        <v>57427.790000000023</v>
      </c>
    </row>
    <row r="5" spans="1:2" x14ac:dyDescent="0.3">
      <c r="A5" s="8" t="s">
        <v>28</v>
      </c>
      <c r="B5">
        <v>61447.960000000014</v>
      </c>
    </row>
    <row r="6" spans="1:2" x14ac:dyDescent="0.3">
      <c r="A6" s="8" t="s">
        <v>59</v>
      </c>
      <c r="B6">
        <v>52118.310000000005</v>
      </c>
    </row>
    <row r="7" spans="1:2" x14ac:dyDescent="0.3">
      <c r="A7" s="8" t="s">
        <v>36</v>
      </c>
      <c r="B7">
        <v>58198.409999999996</v>
      </c>
    </row>
    <row r="8" spans="1:2" x14ac:dyDescent="0.3">
      <c r="A8" s="8" t="s">
        <v>402</v>
      </c>
      <c r="B8">
        <v>229192.47000000003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95-FA86-4E97-B31E-3A6D6A638377}">
  <dimension ref="A3:B7"/>
  <sheetViews>
    <sheetView workbookViewId="0">
      <selection activeCell="N20" sqref="N20"/>
    </sheetView>
  </sheetViews>
  <sheetFormatPr defaultRowHeight="14.4" x14ac:dyDescent="0.3"/>
  <cols>
    <col min="1" max="1" width="12.5546875" bestFit="1" customWidth="1"/>
    <col min="2" max="2" width="16.21875" bestFit="1" customWidth="1"/>
  </cols>
  <sheetData>
    <row r="3" spans="1:2" x14ac:dyDescent="0.3">
      <c r="A3" s="7" t="s">
        <v>401</v>
      </c>
      <c r="B3" t="s">
        <v>404</v>
      </c>
    </row>
    <row r="4" spans="1:2" x14ac:dyDescent="0.3">
      <c r="A4" s="8" t="s">
        <v>35</v>
      </c>
      <c r="B4">
        <v>2859.5699999999974</v>
      </c>
    </row>
    <row r="5" spans="1:2" x14ac:dyDescent="0.3">
      <c r="A5" s="8" t="s">
        <v>21</v>
      </c>
      <c r="B5">
        <v>55258.689999999959</v>
      </c>
    </row>
    <row r="6" spans="1:2" x14ac:dyDescent="0.3">
      <c r="A6" s="8" t="s">
        <v>48</v>
      </c>
      <c r="B6">
        <v>16049.239999999987</v>
      </c>
    </row>
    <row r="7" spans="1:2" x14ac:dyDescent="0.3">
      <c r="A7" s="8" t="s">
        <v>402</v>
      </c>
      <c r="B7">
        <v>74167.499999999942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A952-23A2-4D16-9007-EA7C6395EF62}">
  <dimension ref="A3:C13"/>
  <sheetViews>
    <sheetView workbookViewId="0">
      <selection activeCell="C13" sqref="C13"/>
    </sheetView>
  </sheetViews>
  <sheetFormatPr defaultRowHeight="14.4" x14ac:dyDescent="0.3"/>
  <cols>
    <col min="1" max="1" width="12.5546875" bestFit="1" customWidth="1"/>
    <col min="2" max="2" width="16.21875" bestFit="1" customWidth="1"/>
    <col min="3" max="3" width="19.77734375" bestFit="1" customWidth="1"/>
  </cols>
  <sheetData>
    <row r="3" spans="1:3" x14ac:dyDescent="0.3">
      <c r="A3" s="7" t="s">
        <v>401</v>
      </c>
      <c r="B3" t="s">
        <v>404</v>
      </c>
      <c r="C3" t="s">
        <v>403</v>
      </c>
    </row>
    <row r="4" spans="1:3" x14ac:dyDescent="0.3">
      <c r="A4" s="8" t="s">
        <v>405</v>
      </c>
      <c r="B4">
        <v>6809.7899999999981</v>
      </c>
      <c r="C4">
        <v>20919.330000000002</v>
      </c>
    </row>
    <row r="5" spans="1:3" x14ac:dyDescent="0.3">
      <c r="A5" s="8" t="s">
        <v>406</v>
      </c>
      <c r="B5">
        <v>4939.8099999999977</v>
      </c>
      <c r="C5">
        <v>17039.349999999999</v>
      </c>
    </row>
    <row r="6" spans="1:3" x14ac:dyDescent="0.3">
      <c r="A6" s="8" t="s">
        <v>407</v>
      </c>
      <c r="B6">
        <v>5139.8099999999986</v>
      </c>
      <c r="C6">
        <v>19299.45</v>
      </c>
    </row>
    <row r="7" spans="1:3" x14ac:dyDescent="0.3">
      <c r="A7" s="8" t="s">
        <v>408</v>
      </c>
      <c r="B7">
        <v>7059.7599999999975</v>
      </c>
      <c r="C7">
        <v>18479.399999999994</v>
      </c>
    </row>
    <row r="8" spans="1:3" x14ac:dyDescent="0.3">
      <c r="A8" s="8" t="s">
        <v>409</v>
      </c>
      <c r="B8">
        <v>4909.8199999999988</v>
      </c>
      <c r="C8">
        <v>15759.429999999997</v>
      </c>
    </row>
    <row r="9" spans="1:3" x14ac:dyDescent="0.3">
      <c r="A9" s="8" t="s">
        <v>410</v>
      </c>
      <c r="B9">
        <v>4959.8099999999986</v>
      </c>
      <c r="C9">
        <v>12989.509999999997</v>
      </c>
    </row>
    <row r="10" spans="1:3" x14ac:dyDescent="0.3">
      <c r="A10" s="8" t="s">
        <v>411</v>
      </c>
      <c r="B10">
        <v>6739.8399999999983</v>
      </c>
      <c r="C10">
        <v>20609.52</v>
      </c>
    </row>
    <row r="11" spans="1:3" x14ac:dyDescent="0.3">
      <c r="A11" s="8" t="s">
        <v>412</v>
      </c>
      <c r="B11">
        <v>3919.829999999999</v>
      </c>
      <c r="C11">
        <v>12309.439999999999</v>
      </c>
    </row>
    <row r="12" spans="1:3" x14ac:dyDescent="0.3">
      <c r="A12" s="8" t="s">
        <v>413</v>
      </c>
      <c r="B12">
        <v>7609.7499999999964</v>
      </c>
      <c r="C12">
        <v>23039.3</v>
      </c>
    </row>
    <row r="13" spans="1:3" x14ac:dyDescent="0.3">
      <c r="A13" s="8" t="s">
        <v>402</v>
      </c>
      <c r="B13">
        <v>52088.219999999987</v>
      </c>
      <c r="C13">
        <v>160444.72999999998</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1DD21-7D80-4DF0-8505-41DF5B6F35D4}">
  <dimension ref="A3:B14"/>
  <sheetViews>
    <sheetView workbookViewId="0">
      <selection activeCell="C19" sqref="C19"/>
    </sheetView>
  </sheetViews>
  <sheetFormatPr defaultRowHeight="14.4" x14ac:dyDescent="0.3"/>
  <cols>
    <col min="1" max="1" width="12.5546875" bestFit="1" customWidth="1"/>
    <col min="2" max="2" width="16.21875" bestFit="1" customWidth="1"/>
  </cols>
  <sheetData>
    <row r="3" spans="1:2" x14ac:dyDescent="0.3">
      <c r="A3" s="7" t="s">
        <v>401</v>
      </c>
      <c r="B3" t="s">
        <v>404</v>
      </c>
    </row>
    <row r="4" spans="1:2" x14ac:dyDescent="0.3">
      <c r="A4" s="8" t="s">
        <v>34</v>
      </c>
      <c r="B4">
        <v>1739.71</v>
      </c>
    </row>
    <row r="5" spans="1:2" x14ac:dyDescent="0.3">
      <c r="A5" s="8" t="s">
        <v>47</v>
      </c>
      <c r="B5">
        <v>5249.649999999996</v>
      </c>
    </row>
    <row r="6" spans="1:2" x14ac:dyDescent="0.3">
      <c r="A6" s="8" t="s">
        <v>117</v>
      </c>
      <c r="B6">
        <v>1119.8599999999999</v>
      </c>
    </row>
    <row r="7" spans="1:2" x14ac:dyDescent="0.3">
      <c r="A7" s="8" t="s">
        <v>108</v>
      </c>
      <c r="B7">
        <v>7799.7399999999961</v>
      </c>
    </row>
    <row r="8" spans="1:2" x14ac:dyDescent="0.3">
      <c r="A8" s="8" t="s">
        <v>55</v>
      </c>
      <c r="B8">
        <v>2399.84</v>
      </c>
    </row>
    <row r="9" spans="1:2" x14ac:dyDescent="0.3">
      <c r="A9" s="8" t="s">
        <v>120</v>
      </c>
      <c r="B9">
        <v>3059.6599999999976</v>
      </c>
    </row>
    <row r="10" spans="1:2" x14ac:dyDescent="0.3">
      <c r="A10" s="8" t="s">
        <v>64</v>
      </c>
      <c r="B10">
        <v>21599.760000000006</v>
      </c>
    </row>
    <row r="11" spans="1:2" x14ac:dyDescent="0.3">
      <c r="A11" s="8" t="s">
        <v>20</v>
      </c>
      <c r="B11">
        <v>6499.7399999999961</v>
      </c>
    </row>
    <row r="12" spans="1:2" x14ac:dyDescent="0.3">
      <c r="A12" s="8" t="s">
        <v>129</v>
      </c>
      <c r="B12">
        <v>2999.8499999999995</v>
      </c>
    </row>
    <row r="13" spans="1:2" x14ac:dyDescent="0.3">
      <c r="A13" s="8" t="s">
        <v>83</v>
      </c>
      <c r="B13">
        <v>21699.69000000001</v>
      </c>
    </row>
    <row r="14" spans="1:2" x14ac:dyDescent="0.3">
      <c r="A14" s="8" t="s">
        <v>402</v>
      </c>
      <c r="B14">
        <v>74167.5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C4924-9C59-41E3-AD3C-7A0DD4D154CF}">
  <dimension ref="A3:B9"/>
  <sheetViews>
    <sheetView workbookViewId="0">
      <selection activeCell="G23" sqref="G23"/>
    </sheetView>
  </sheetViews>
  <sheetFormatPr defaultRowHeight="14.4" x14ac:dyDescent="0.3"/>
  <cols>
    <col min="1" max="1" width="12.5546875" bestFit="1" customWidth="1"/>
    <col min="2" max="2" width="19.77734375" bestFit="1" customWidth="1"/>
  </cols>
  <sheetData>
    <row r="3" spans="1:2" x14ac:dyDescent="0.3">
      <c r="A3" s="7" t="s">
        <v>401</v>
      </c>
      <c r="B3" t="s">
        <v>403</v>
      </c>
    </row>
    <row r="4" spans="1:2" x14ac:dyDescent="0.3">
      <c r="A4" s="8" t="s">
        <v>23</v>
      </c>
      <c r="B4">
        <v>41288.340000000018</v>
      </c>
    </row>
    <row r="5" spans="1:2" x14ac:dyDescent="0.3">
      <c r="A5" s="8" t="s">
        <v>65</v>
      </c>
      <c r="B5">
        <v>59288.389999999992</v>
      </c>
    </row>
    <row r="6" spans="1:2" x14ac:dyDescent="0.3">
      <c r="A6" s="8" t="s">
        <v>42</v>
      </c>
      <c r="B6">
        <v>50808.310000000012</v>
      </c>
    </row>
    <row r="7" spans="1:2" x14ac:dyDescent="0.3">
      <c r="A7" s="8" t="s">
        <v>37</v>
      </c>
      <c r="B7">
        <v>36398.750000000007</v>
      </c>
    </row>
    <row r="8" spans="1:2" x14ac:dyDescent="0.3">
      <c r="A8" s="8" t="s">
        <v>52</v>
      </c>
      <c r="B8">
        <v>41408.680000000015</v>
      </c>
    </row>
    <row r="9" spans="1:2" x14ac:dyDescent="0.3">
      <c r="A9" s="8" t="s">
        <v>402</v>
      </c>
      <c r="B9">
        <v>229192.47000000006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AB2FC2-3D45-42C2-BBDA-9E31F22E73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 Instructions</vt:lpstr>
      <vt:lpstr>Dataset</vt:lpstr>
      <vt:lpstr>Dashboard</vt:lpstr>
      <vt:lpstr>Filter By Category</vt:lpstr>
      <vt:lpstr>WHAT-IF</vt:lpstr>
      <vt:lpstr>Descriptive Statistics</vt:lpstr>
      <vt:lpstr>Linear Regression</vt:lpstr>
      <vt:lpstr>Sales By Category</vt:lpstr>
      <vt:lpstr>Payment Method</vt:lpstr>
      <vt:lpstr>Categorywise Unit Price</vt:lpstr>
      <vt:lpstr>Sales Trend Over Time</vt:lpstr>
      <vt:lpstr>Sub-Category By Unit Price</vt:lpstr>
      <vt:lpstr>Sales By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Harsh Maradiya</cp:lastModifiedBy>
  <dcterms:created xsi:type="dcterms:W3CDTF">2026-05-05T05:25:41Z</dcterms:created>
  <dcterms:modified xsi:type="dcterms:W3CDTF">2026-05-05T06:05:38Z</dcterms:modified>
</cp:coreProperties>
</file>