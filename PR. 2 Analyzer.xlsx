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timelines/timeline3.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66E2A145-422C-4E74-82A2-B3D06AC271E9}" xr6:coauthVersionLast="47" xr6:coauthVersionMax="47" xr10:uidLastSave="{00000000-0000-0000-0000-000000000000}"/>
  <bookViews>
    <workbookView xWindow="-108" yWindow="-108" windowWidth="23256" windowHeight="13176" activeTab="2" xr2:uid="{00000000-000D-0000-FFFF-FFFF00000000}"/>
  </bookViews>
  <sheets>
    <sheet name="Project Instructions" sheetId="1" r:id="rId1"/>
    <sheet name="Dataset" sheetId="2" r:id="rId2"/>
    <sheet name="Dashboard" sheetId="11" r:id="rId3"/>
    <sheet name="Linear Regression" sheetId="4" r:id="rId4"/>
    <sheet name="Descriptive Statistics" sheetId="5" r:id="rId5"/>
    <sheet name="Sales by Region" sheetId="3" r:id="rId6"/>
    <sheet name="Average Profit By Region" sheetId="14" r:id="rId7"/>
    <sheet name="Sales &amp; Profit" sheetId="8" r:id="rId8"/>
    <sheet name="Profit By Region" sheetId="6" r:id="rId9"/>
    <sheet name="Monthly Sales Growth" sheetId="7" r:id="rId10"/>
  </sheets>
  <definedNames>
    <definedName name="NativeTimeline_Order_Date">#N/A</definedName>
    <definedName name="NativeTimeline_Order_Date1">#N/A</definedName>
    <definedName name="Slicer_Product_Category">#N/A</definedName>
    <definedName name="Slicer_Product_Category1">#N/A</definedName>
    <definedName name="Slicer_Region">#N/A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2" l="1"/>
  <c r="O5" i="2" s="1"/>
  <c r="M5" i="2" l="1"/>
  <c r="P5" i="2"/>
  <c r="J3" i="2" l="1"/>
  <c r="J2"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G3" i="2"/>
  <c r="G202" i="2"/>
  <c r="F202" i="2"/>
  <c r="E202" i="2"/>
  <c r="I202" i="2"/>
  <c r="N13" i="2" l="1"/>
  <c r="N7" i="2"/>
  <c r="N6" i="2"/>
  <c r="N10" i="2"/>
  <c r="N9" i="2"/>
  <c r="N12" i="2"/>
  <c r="N11" i="2"/>
  <c r="N14" i="2"/>
  <c r="N8" i="2"/>
  <c r="P12" i="2" l="1"/>
  <c r="O12" i="2"/>
  <c r="M12" i="2"/>
  <c r="O10" i="2"/>
  <c r="M10" i="2"/>
  <c r="P10" i="2"/>
  <c r="P6" i="2"/>
  <c r="O6" i="2"/>
  <c r="M6" i="2"/>
  <c r="N15" i="2"/>
  <c r="O11" i="2"/>
  <c r="M11" i="2"/>
  <c r="P11" i="2"/>
  <c r="O9" i="2"/>
  <c r="M9" i="2"/>
  <c r="P9" i="2"/>
  <c r="O7" i="2"/>
  <c r="M7" i="2"/>
  <c r="P7" i="2"/>
  <c r="P14" i="2"/>
  <c r="M14" i="2"/>
  <c r="O14" i="2"/>
  <c r="M8" i="2"/>
  <c r="P8" i="2"/>
  <c r="O8" i="2"/>
  <c r="O13" i="2"/>
  <c r="M13" i="2"/>
  <c r="P13" i="2"/>
  <c r="P15" i="2" l="1"/>
  <c r="O15" i="2"/>
</calcChain>
</file>

<file path=xl/sharedStrings.xml><?xml version="1.0" encoding="utf-8"?>
<sst xmlns="http://schemas.openxmlformats.org/spreadsheetml/2006/main" count="918" uniqueCount="131">
  <si>
    <t>PR. 2 Analyzer</t>
  </si>
  <si>
    <r>
      <rPr>
        <b/>
        <sz val="11"/>
        <color theme="1"/>
        <rFont val="Calibri"/>
        <family val="2"/>
      </rPr>
      <t xml:space="preserve">Topics:
</t>
    </r>
    <r>
      <rPr>
        <sz val="11"/>
        <color theme="1"/>
        <rFont val="Calibri"/>
        <family val="2"/>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family val="2"/>
      </rPr>
      <t>Main Tasks:</t>
    </r>
    <r>
      <rPr>
        <sz val="11"/>
        <color rgb="FF38761D"/>
        <rFont val="Calibri"/>
        <family val="2"/>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family val="2"/>
      </rPr>
      <t xml:space="preserve">
</t>
    </r>
    <r>
      <rPr>
        <b/>
        <sz val="11"/>
        <color theme="1"/>
        <rFont val="Calibri"/>
        <family val="2"/>
      </rPr>
      <t xml:space="preserve">Deliverable:
</t>
    </r>
    <r>
      <rPr>
        <sz val="11"/>
        <color theme="1"/>
        <rFont val="Calibri"/>
        <family val="2"/>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</si>
  <si>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</si>
  <si>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</si>
  <si>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</si>
  <si>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</si>
  <si>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</si>
  <si>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</si>
  <si>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</si>
  <si>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</si>
  <si>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</si>
  <si>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</si>
  <si>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</si>
  <si>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</si>
  <si>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</si>
  <si>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</si>
  <si>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</si>
  <si>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</si>
  <si>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</si>
  <si>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</si>
  <si>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</si>
  <si>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</si>
  <si>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</si>
  <si>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</si>
  <si>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</si>
  <si>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</si>
  <si>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</si>
  <si>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</si>
  <si>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</si>
  <si>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</si>
  <si>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</si>
  <si>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</si>
  <si>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</si>
  <si>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</si>
  <si>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</si>
  <si>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</si>
  <si>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</si>
  <si>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</si>
  <si>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</si>
  <si>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</si>
  <si>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</si>
  <si>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</si>
  <si>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</si>
  <si>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</si>
  <si>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</si>
  <si>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</si>
  <si>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</si>
  <si>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</si>
  <si>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</si>
  <si>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</si>
  <si>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</si>
  <si>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</si>
  <si>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</si>
  <si>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</si>
  <si>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</si>
  <si>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</si>
  <si>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</si>
  <si>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</si>
  <si>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</si>
  <si>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</si>
  <si>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</si>
  <si>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</si>
  <si>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</si>
  <si>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</si>
  <si>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</si>
  <si>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</si>
  <si>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</si>
  <si>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</si>
  <si>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</si>
  <si>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</si>
  <si>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</si>
  <si>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</si>
  <si>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</si>
  <si>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</si>
  <si>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</si>
  <si>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</si>
  <si>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</si>
  <si>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</si>
  <si>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Row Labels</t>
  </si>
  <si>
    <t>Grand Total</t>
  </si>
  <si>
    <t>Sum of Sales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</si>
  <si>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</si>
  <si>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</si>
  <si>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</si>
  <si>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</si>
  <si>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</si>
  <si>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</si>
  <si>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</si>
  <si>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</si>
  <si>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</si>
  <si>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</si>
  <si>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</si>
  <si>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</si>
  <si>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</si>
  <si>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</si>
  <si>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</si>
  <si>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</si>
  <si>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</si>
  <si>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</si>
  <si>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</si>
  <si>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</si>
  <si>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</si>
  <si>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</si>
  <si>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</si>
  <si>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</si>
  <si>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</si>
  <si>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</si>
  <si>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</si>
  <si>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</si>
  <si>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</si>
  <si>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</si>
  <si>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</si>
  <si>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</si>
  <si>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</si>
  <si>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</si>
  <si>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</si>
  <si>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</si>
  <si>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</si>
  <si>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Sum of Profit</t>
  </si>
  <si>
    <t>Time</t>
  </si>
  <si>
    <t>Apr</t>
  </si>
  <si>
    <t>May</t>
  </si>
  <si>
    <t>Jun</t>
  </si>
  <si>
    <t>Jul</t>
  </si>
  <si>
    <t>Aug</t>
  </si>
  <si>
    <t>Sep</t>
  </si>
  <si>
    <t>Oct</t>
  </si>
  <si>
    <t>Nov</t>
  </si>
  <si>
    <t>Dec</t>
  </si>
  <si>
    <t>Sales Dashboard</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</si>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</sst>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1"/>
      <color theme="1"/>
      <name val="Calibri"/>
      <family val="2"/>
      <scheme val="minor"/>
    </font>
    <font>
      <sz val="11"/>
      <color theme="1"/>
      <name val="Calibri"/>
      <family val="2"/>
      <scheme val="minor"/>
    </font>
    <font>
      <b/>
      <sz val="11"/>
      <color rgb="FF38761D"/>
      <name val="Calibri"/>
      <family val="2"/>
    </font>
    <font>
      <sz val="11"/>
      <color rgb="FF38761D"/>
      <name val="Calibri"/>
      <family val="2"/>
    </font>
    <font>
      <i/>
      <sz val="11"/>
      <color theme="1"/>
      <name val="Calibri"/>
      <family val="2"/>
      <scheme val="minor"/>
    </font>
    <font>
      <sz val="11"/>
      <color theme="0"/>
      <name val="Calibri"/>
      <family val="2"/>
      <scheme val="minor"/>
    </font>
    <font>
      <b/>
      <sz val="22"/>
      <color theme="0"/>
      <name val="Aharoni"/>
    </font>
  </fonts>
  <fills count="4">
    <fill>
      <patternFill patternType="none"/>
    </fill>
    <fill>
      <patternFill patternType="gray125"/>
    </fill>
    <fill>
      <patternFill patternType="solid">
        <fgColor rgb="FFFFF2CC"/>
        <bgColor rgb="FFFFF2CC"/>
      </patternFill>
    </fill>
    <fill>
      <patternFill patternType="solid">
        <fgColor rgb="FF00B05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3" fillId="2" borderId="1" xfId="0" applyFont="1" applyFill="1" applyBorder="1" applyAlignment="1">
      <alignment horizontal="center"/>
    </xf>
    <xf numFmtId="0" fontId="4" fillId="0" borderId="0" xfId="0" applyFont="1"/>
    <xf numFmtId="0" fontId="5" fillId="0" borderId="0" xfId="0" applyFont="1"/>
    <xf numFmtId="0" fontId="6" fillId="0" borderId="0" xfId="0" applyFont="1"/>
    <xf numFmtId="164" fontId="6" fillId="0" borderId="0" xfId="0" applyNumberFormat="1" applyFont="1"/>
    <xf numFmtId="0" fontId="0" fillId="0" borderId="0" xfId="0" pivotButton="1"/>
    <xf numFmtId="0" fontId="0" fillId="0" borderId="0" xfId="0" applyAlignment="1">
      <alignment horizontal="left"/>
    </xf>
    <xf numFmtId="0" fontId="0" fillId="0" borderId="3" xfId="0" applyBorder="1"/>
    <xf numFmtId="0" fontId="9" fillId="0" borderId="4" xfId="0" applyFont="1" applyBorder="1" applyAlignment="1">
      <alignment horizontal="center"/>
    </xf>
    <xf numFmtId="0" fontId="9" fillId="0" borderId="4" xfId="0" applyFont="1" applyBorder="1" applyAlignment="1">
      <alignment horizontal="centerContinuous"/>
    </xf>
    <xf numFmtId="0" fontId="2" fillId="0" borderId="0" xfId="0" applyFont="1"/>
    <xf numFmtId="164" fontId="2" fillId="0" borderId="0" xfId="0" applyNumberFormat="1" applyFont="1"/>
    <xf numFmtId="22" fontId="2" fillId="0" borderId="0" xfId="0" applyNumberFormat="1" applyFont="1"/>
    <xf numFmtId="0" fontId="0" fillId="0" borderId="5" xfId="0" applyBorder="1" applyAlignment="1">
      <alignment horizontal="center"/>
    </xf>
    <xf numFmtId="0" fontId="0" fillId="0" borderId="5" xfId="0" applyBorder="1"/>
    <xf numFmtId="0" fontId="10" fillId="3" borderId="5" xfId="0" applyFont="1" applyFill="1" applyBorder="1" applyAlignment="1">
      <alignment horizontal="center"/>
    </xf>
    <xf numFmtId="0" fontId="0" fillId="3" borderId="5" xfId="0" applyFill="1" applyBorder="1"/>
    <xf numFmtId="0" fontId="0" fillId="3" borderId="5" xfId="0" applyFill="1" applyBorder="1" applyAlignment="1">
      <alignment horizontal="center"/>
    </xf>
    <xf numFmtId="0" fontId="11" fillId="3" borderId="0" xfId="0" applyFont="1" applyFill="1" applyAlignment="1">
      <alignment horizontal="center" vertical="center"/>
    </xf>
    <xf numFmtId="0" fontId="4" fillId="0" borderId="2" xfId="0" applyFont="1" applyBorder="1" applyAlignment="1">
      <alignment horizontal="left" vertical="top" wrapText="1"/>
    </xf>
    <xf numFmtId="0" fontId="4" fillId="0" borderId="0" xfId="0" applyFont="1" applyAlignment="1">
      <alignment horizontal="left" vertical="top"/>
    </xf>
    <xf numFmtId="0" fontId="1" fillId="3" borderId="6" xfId="0" applyFont="1" applyFill="1" applyBorder="1" applyAlignment="1">
      <alignment horizontal="center"/>
    </xf>
    <xf numFmtId="0" fontId="0" fillId="3" borderId="7" xfId="0" applyFill="1" applyBorder="1" applyAlignment="1">
      <alignment horizontal="center"/>
    </xf>
    <xf numFmtId="0" fontId="9" fillId="0" borderId="4" xfId="0" applyFont="1" applyBorder="1" applyAlignment="1">
      <alignment horizontal="center"/>
    </xf>
    <xf numFmtId="0" fontId="0" fillId="0" borderId="0" xfId="0" applyAlignment="1">
      <alignment vertical="center"/>
    </xf>
  </cellXfs>
  <cellStyles count="1">
    <cellStyle name="Normal" xfId="0" builtinId="0"/>
  </cellStyles>
  <dxfs count="22">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27" formatCode="m/d/yyyy\ h:mm"/>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numFmt numFmtId="164" formatCode="yyyy\-mm\-dd"/>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11/relationships/timelineCache" Target="timelineCaches/timeline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 2 Analyzer.xlsx]Monthly Sales Growth!PivotTable2</c:name>
    <c:fmtId val="1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Sales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Growth'!$B$3</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Growth'!$A$4:$A$13</c:f>
              <c:strCache>
                <c:ptCount val="9"/>
                <c:pt idx="0">
                  <c:v>Apr</c:v>
                </c:pt>
                <c:pt idx="1">
                  <c:v>May</c:v>
                </c:pt>
                <c:pt idx="2">
                  <c:v>Jun</c:v>
                </c:pt>
                <c:pt idx="3">
                  <c:v>Jul</c:v>
                </c:pt>
                <c:pt idx="4">
                  <c:v>Aug</c:v>
                </c:pt>
                <c:pt idx="5">
                  <c:v>Sep</c:v>
                </c:pt>
                <c:pt idx="6">
                  <c:v>Oct</c:v>
                </c:pt>
                <c:pt idx="7">
                  <c:v>Nov</c:v>
                </c:pt>
                <c:pt idx="8">
                  <c:v>Dec</c:v>
                </c:pt>
              </c:strCache>
            </c:strRef>
          </c:cat>
          <c:val>
            <c:numRef>
              <c:f>'Monthly Sales Growth'!$B$4:$B$13</c:f>
              <c:numCache>
                <c:formatCode>General</c:formatCode>
                <c:ptCount val="9"/>
                <c:pt idx="0">
                  <c:v>19029.960000000003</c:v>
                </c:pt>
                <c:pt idx="1">
                  <c:v>18507.339999999997</c:v>
                </c:pt>
                <c:pt idx="2">
                  <c:v>20187.509999999995</c:v>
                </c:pt>
                <c:pt idx="3">
                  <c:v>11609.039999999999</c:v>
                </c:pt>
                <c:pt idx="4">
                  <c:v>10091.700000000001</c:v>
                </c:pt>
                <c:pt idx="5">
                  <c:v>20533.5</c:v>
                </c:pt>
                <c:pt idx="6">
                  <c:v>14215.240000000002</c:v>
                </c:pt>
                <c:pt idx="7">
                  <c:v>20135.03</c:v>
                </c:pt>
                <c:pt idx="8">
                  <c:v>11120.04</c:v>
                </c:pt>
              </c:numCache>
            </c:numRef>
          </c:val>
          <c:smooth val="0"/>
          <c:extLst>
            <c:ext xmlns:c16="http://schemas.microsoft.com/office/drawing/2014/chart" uri="{C3380CC4-5D6E-409C-BE32-E72D297353CC}">
              <c16:uniqueId val="{00000000-1043-45A0-AB66-7E9665074BDD}"/>
            </c:ext>
          </c:extLst>
        </c:ser>
        <c:dLbls>
          <c:dLblPos val="ctr"/>
          <c:showLegendKey val="0"/>
          <c:showVal val="1"/>
          <c:showCatName val="0"/>
          <c:showSerName val="0"/>
          <c:showPercent val="0"/>
          <c:showBubbleSize val="0"/>
        </c:dLbls>
        <c:marker val="1"/>
        <c:smooth val="0"/>
        <c:axId val="398999760"/>
        <c:axId val="398996880"/>
      </c:lineChart>
      <c:catAx>
        <c:axId val="398999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8996880"/>
        <c:crosses val="autoZero"/>
        <c:auto val="1"/>
        <c:lblAlgn val="ctr"/>
        <c:lblOffset val="100"/>
        <c:noMultiLvlLbl val="0"/>
      </c:catAx>
      <c:valAx>
        <c:axId val="39899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899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 2 Analyzer.xlsx]Sales by Region!PivotTable1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a:t>
            </a:r>
            <a:r>
              <a:rPr lang="en-US" baseline="0"/>
              <a:t>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43468.330000000009</c:v>
                </c:pt>
                <c:pt idx="1">
                  <c:v>32441.640000000007</c:v>
                </c:pt>
                <c:pt idx="2">
                  <c:v>34975.42</c:v>
                </c:pt>
                <c:pt idx="3">
                  <c:v>40248.789999999994</c:v>
                </c:pt>
                <c:pt idx="4">
                  <c:v>44083.58</c:v>
                </c:pt>
              </c:numCache>
            </c:numRef>
          </c:val>
          <c:extLst>
            <c:ext xmlns:c16="http://schemas.microsoft.com/office/drawing/2014/chart" uri="{C3380CC4-5D6E-409C-BE32-E72D297353CC}">
              <c16:uniqueId val="{00000000-F61D-4A12-A169-15AE7D4A4EE6}"/>
            </c:ext>
          </c:extLst>
        </c:ser>
        <c:dLbls>
          <c:showLegendKey val="0"/>
          <c:showVal val="0"/>
          <c:showCatName val="0"/>
          <c:showSerName val="0"/>
          <c:showPercent val="0"/>
          <c:showBubbleSize val="0"/>
        </c:dLbls>
        <c:gapWidth val="100"/>
        <c:overlap val="-24"/>
        <c:axId val="803423967"/>
        <c:axId val="803428287"/>
      </c:barChart>
      <c:catAx>
        <c:axId val="803423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428287"/>
        <c:crosses val="autoZero"/>
        <c:auto val="1"/>
        <c:lblAlgn val="ctr"/>
        <c:lblOffset val="100"/>
        <c:noMultiLvlLbl val="0"/>
      </c:catAx>
      <c:valAx>
        <c:axId val="803428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42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Analyzer.xlsx]Sales &amp; Profit!PivotTable2</c:name>
    <c:fmtId val="1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 &amp; Profit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Profit'!$B$3</c:f>
              <c:strCache>
                <c:ptCount val="1"/>
                <c:pt idx="0">
                  <c:v>Sum of Profit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'Sales &amp; Profit'!$A$4:$A$9</c:f>
              <c:strCache>
                <c:ptCount val="5"/>
                <c:pt idx="0">
                  <c:v>Books</c:v>
                </c:pt>
                <c:pt idx="1">
                  <c:v>Clothing</c:v>
                </c:pt>
                <c:pt idx="2">
                  <c:v>Electronics</c:v>
                </c:pt>
                <c:pt idx="3">
                  <c:v>Furniture</c:v>
                </c:pt>
                <c:pt idx="4">
                  <c:v>Office Supplies</c:v>
                </c:pt>
              </c:strCache>
            </c:strRef>
          </c:cat>
          <c:val>
            <c:numRef>
              <c:f>'Sales &amp; Profit'!$B$4:$B$9</c:f>
              <c:numCache>
                <c:formatCode>General</c:formatCode>
                <c:ptCount val="5"/>
                <c:pt idx="0">
                  <c:v>16901.630000000005</c:v>
                </c:pt>
                <c:pt idx="1">
                  <c:v>18784.490000000002</c:v>
                </c:pt>
                <c:pt idx="2">
                  <c:v>9182.15</c:v>
                </c:pt>
                <c:pt idx="3">
                  <c:v>11579.140000000001</c:v>
                </c:pt>
                <c:pt idx="4">
                  <c:v>11839.599999999999</c:v>
                </c:pt>
              </c:numCache>
            </c:numRef>
          </c:val>
          <c:extLst>
            <c:ext xmlns:c16="http://schemas.microsoft.com/office/drawing/2014/chart" uri="{C3380CC4-5D6E-409C-BE32-E72D297353CC}">
              <c16:uniqueId val="{00000000-2FE2-44AC-989F-625B3913C761}"/>
            </c:ext>
          </c:extLst>
        </c:ser>
        <c:ser>
          <c:idx val="1"/>
          <c:order val="1"/>
          <c:tx>
            <c:strRef>
              <c:f>'Sales &amp; Profit'!$C$3</c:f>
              <c:strCache>
                <c:ptCount val="1"/>
                <c:pt idx="0">
                  <c:v>Sum of Sales</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'Sales &amp; Profit'!$A$4:$A$9</c:f>
              <c:strCache>
                <c:ptCount val="5"/>
                <c:pt idx="0">
                  <c:v>Books</c:v>
                </c:pt>
                <c:pt idx="1">
                  <c:v>Clothing</c:v>
                </c:pt>
                <c:pt idx="2">
                  <c:v>Electronics</c:v>
                </c:pt>
                <c:pt idx="3">
                  <c:v>Furniture</c:v>
                </c:pt>
                <c:pt idx="4">
                  <c:v>Office Supplies</c:v>
                </c:pt>
              </c:strCache>
            </c:strRef>
          </c:cat>
          <c:val>
            <c:numRef>
              <c:f>'Sales &amp; Profit'!$C$4:$C$9</c:f>
              <c:numCache>
                <c:formatCode>General</c:formatCode>
                <c:ptCount val="5"/>
                <c:pt idx="0">
                  <c:v>47002.46</c:v>
                </c:pt>
                <c:pt idx="1">
                  <c:v>41927.590000000011</c:v>
                </c:pt>
                <c:pt idx="2">
                  <c:v>41044.000000000007</c:v>
                </c:pt>
                <c:pt idx="3">
                  <c:v>36612.89</c:v>
                </c:pt>
                <c:pt idx="4">
                  <c:v>28630.819999999989</c:v>
                </c:pt>
              </c:numCache>
            </c:numRef>
          </c:val>
          <c:extLst>
            <c:ext xmlns:c16="http://schemas.microsoft.com/office/drawing/2014/chart" uri="{C3380CC4-5D6E-409C-BE32-E72D297353CC}">
              <c16:uniqueId val="{00000001-2FE2-44AC-989F-625B3913C761}"/>
            </c:ext>
          </c:extLst>
        </c:ser>
        <c:dLbls>
          <c:showLegendKey val="0"/>
          <c:showVal val="0"/>
          <c:showCatName val="0"/>
          <c:showSerName val="0"/>
          <c:showPercent val="0"/>
          <c:showBubbleSize val="0"/>
        </c:dLbls>
        <c:gapWidth val="100"/>
        <c:overlap val="-24"/>
        <c:axId val="801034367"/>
        <c:axId val="801031007"/>
      </c:barChart>
      <c:catAx>
        <c:axId val="80103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1031007"/>
        <c:crosses val="autoZero"/>
        <c:auto val="1"/>
        <c:lblAlgn val="ctr"/>
        <c:lblOffset val="100"/>
        <c:noMultiLvlLbl val="0"/>
      </c:catAx>
      <c:valAx>
        <c:axId val="80103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103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Analyzer.xlsx]Profit By Region!PivotTable1</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'Profit By Region'!$B$3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CB6-4BEF-B133-2AF1BAE2953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CB6-4BEF-B133-2AF1BAE2953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CB6-4BEF-B133-2AF1BAE2953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CB6-4BEF-B133-2AF1BAE2953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CB6-4BEF-B133-2AF1BAE2953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'Profit By Region'!$A$4:$A$9</c:f>
              <c:strCache>
                <c:ptCount val="5"/>
                <c:pt idx="0">
                  <c:v>Central</c:v>
                </c:pt>
                <c:pt idx="1">
                  <c:v>East</c:v>
                </c:pt>
                <c:pt idx="2">
                  <c:v>North</c:v>
                </c:pt>
                <c:pt idx="3">
                  <c:v>South</c:v>
                </c:pt>
                <c:pt idx="4">
                  <c:v>West</c:v>
                </c:pt>
              </c:strCache>
            </c:strRef>
          </c:cat>
          <c:val>
            <c:numRef>
              <c:f>'Profit By Region'!$B$4:$B$9</c:f>
              <c:numCache>
                <c:formatCode>General</c:formatCode>
                <c:ptCount val="5"/>
                <c:pt idx="0">
                  <c:v>16068.399999999998</c:v>
                </c:pt>
                <c:pt idx="1">
                  <c:v>11638.59</c:v>
                </c:pt>
                <c:pt idx="2">
                  <c:v>11902.280000000002</c:v>
                </c:pt>
                <c:pt idx="3">
                  <c:v>13691.910000000005</c:v>
                </c:pt>
                <c:pt idx="4">
                  <c:v>14985.830000000002</c:v>
                </c:pt>
              </c:numCache>
            </c:numRef>
          </c:val>
          <c:extLst>
            <c:ext xmlns:c16="http://schemas.microsoft.com/office/drawing/2014/chart" uri="{C3380CC4-5D6E-409C-BE32-E72D297353CC}">
              <c16:uniqueId val="{0000000A-7CB6-4BEF-B133-2AF1BAE2953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Analyzer.xlsx]Average Profit By Region!PivotTable2</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Average</a:t>
            </a:r>
            <a:r>
              <a:rPr lang="en-US" baseline="0"/>
              <a:t> Profit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'Average Profit By Region'!$B$3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94A-409E-BC32-B2442D95297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94A-409E-BC32-B2442D95297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94A-409E-BC32-B2442D95297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94A-409E-BC32-B2442D952971}"/>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94A-409E-BC32-B2442D9529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'Average Profit By Region'!$A$4:$A$9</c:f>
              <c:strCache>
                <c:ptCount val="5"/>
                <c:pt idx="0">
                  <c:v>Central</c:v>
                </c:pt>
                <c:pt idx="1">
                  <c:v>East</c:v>
                </c:pt>
                <c:pt idx="2">
                  <c:v>North</c:v>
                </c:pt>
                <c:pt idx="3">
                  <c:v>South</c:v>
                </c:pt>
                <c:pt idx="4">
                  <c:v>West</c:v>
                </c:pt>
              </c:strCache>
            </c:strRef>
          </c:cat>
          <c:val>
            <c:numRef>
              <c:f>'Average Profit By Region'!$B$4:$B$9</c:f>
              <c:numCache>
                <c:formatCode>General</c:formatCode>
                <c:ptCount val="5"/>
                <c:pt idx="0">
                  <c:v>365.19090909090903</c:v>
                </c:pt>
                <c:pt idx="1">
                  <c:v>363.7059375</c:v>
                </c:pt>
                <c:pt idx="2">
                  <c:v>305.18666666666672</c:v>
                </c:pt>
                <c:pt idx="3">
                  <c:v>325.99785714285724</c:v>
                </c:pt>
                <c:pt idx="4">
                  <c:v>348.50767441860467</c:v>
                </c:pt>
              </c:numCache>
            </c:numRef>
          </c:val>
          <c:extLst>
            <c:ext xmlns:c16="http://schemas.microsoft.com/office/drawing/2014/chart" uri="{C3380CC4-5D6E-409C-BE32-E72D297353CC}">
              <c16:uniqueId val="{0000000A-294A-409E-BC32-B2442D95297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 2 Analyzer.xlsx]Sales by Region!PivotTable1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a:t>
            </a:r>
            <a:r>
              <a:rPr lang="en-US" baseline="0"/>
              <a:t>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43468.330000000009</c:v>
                </c:pt>
                <c:pt idx="1">
                  <c:v>32441.640000000007</c:v>
                </c:pt>
                <c:pt idx="2">
                  <c:v>34975.42</c:v>
                </c:pt>
                <c:pt idx="3">
                  <c:v>40248.789999999994</c:v>
                </c:pt>
                <c:pt idx="4">
                  <c:v>44083.58</c:v>
                </c:pt>
              </c:numCache>
            </c:numRef>
          </c:val>
          <c:extLst>
            <c:ext xmlns:c16="http://schemas.microsoft.com/office/drawing/2014/chart" uri="{C3380CC4-5D6E-409C-BE32-E72D297353CC}">
              <c16:uniqueId val="{00000000-1503-42CE-8792-889040D64B27}"/>
            </c:ext>
          </c:extLst>
        </c:ser>
        <c:dLbls>
          <c:showLegendKey val="0"/>
          <c:showVal val="0"/>
          <c:showCatName val="0"/>
          <c:showSerName val="0"/>
          <c:showPercent val="0"/>
          <c:showBubbleSize val="0"/>
        </c:dLbls>
        <c:gapWidth val="100"/>
        <c:overlap val="-24"/>
        <c:axId val="803423967"/>
        <c:axId val="803428287"/>
      </c:barChart>
      <c:catAx>
        <c:axId val="803423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428287"/>
        <c:crosses val="autoZero"/>
        <c:auto val="1"/>
        <c:lblAlgn val="ctr"/>
        <c:lblOffset val="100"/>
        <c:noMultiLvlLbl val="0"/>
      </c:catAx>
      <c:valAx>
        <c:axId val="803428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42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Analyzer.xlsx]Average Profit By Region!PivotTable2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Average</a:t>
            </a:r>
            <a:r>
              <a:rPr lang="en-US" baseline="0"/>
              <a:t> Profit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'Average Profit By Region'!$B$3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45B-4D50-B1FB-6417E9B3C48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45B-4D50-B1FB-6417E9B3C48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45B-4D50-B1FB-6417E9B3C48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45B-4D50-B1FB-6417E9B3C48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45B-4D50-B1FB-6417E9B3C4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'Average Profit By Region'!$A$4:$A$9</c:f>
              <c:strCache>
                <c:ptCount val="5"/>
                <c:pt idx="0">
                  <c:v>Central</c:v>
                </c:pt>
                <c:pt idx="1">
                  <c:v>East</c:v>
                </c:pt>
                <c:pt idx="2">
                  <c:v>North</c:v>
                </c:pt>
                <c:pt idx="3">
                  <c:v>South</c:v>
                </c:pt>
                <c:pt idx="4">
                  <c:v>West</c:v>
                </c:pt>
              </c:strCache>
            </c:strRef>
          </c:cat>
          <c:val>
            <c:numRef>
              <c:f>'Average Profit By Region'!$B$4:$B$9</c:f>
              <c:numCache>
                <c:formatCode>General</c:formatCode>
                <c:ptCount val="5"/>
                <c:pt idx="0">
                  <c:v>365.19090909090903</c:v>
                </c:pt>
                <c:pt idx="1">
                  <c:v>363.7059375</c:v>
                </c:pt>
                <c:pt idx="2">
                  <c:v>305.18666666666672</c:v>
                </c:pt>
                <c:pt idx="3">
                  <c:v>325.99785714285724</c:v>
                </c:pt>
                <c:pt idx="4">
                  <c:v>348.50767441860467</c:v>
                </c:pt>
              </c:numCache>
            </c:numRef>
          </c:val>
          <c:extLst>
            <c:ext xmlns:c16="http://schemas.microsoft.com/office/drawing/2014/chart" uri="{C3380CC4-5D6E-409C-BE32-E72D297353CC}">
              <c16:uniqueId val="{00000000-42FB-4BA0-9860-5EA666015A3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Analyzer.xlsx]Sales &amp; Profit!PivotTable2</c:name>
    <c:fmtId val="8"/>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Profit'!$B$3</c:f>
              <c:strCache>
                <c:ptCount val="1"/>
                <c:pt idx="0">
                  <c:v>Sum of Profit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'Sales &amp; Profit'!$A$4:$A$9</c:f>
              <c:strCache>
                <c:ptCount val="5"/>
                <c:pt idx="0">
                  <c:v>Books</c:v>
                </c:pt>
                <c:pt idx="1">
                  <c:v>Clothing</c:v>
                </c:pt>
                <c:pt idx="2">
                  <c:v>Electronics</c:v>
                </c:pt>
                <c:pt idx="3">
                  <c:v>Furniture</c:v>
                </c:pt>
                <c:pt idx="4">
                  <c:v>Office Supplies</c:v>
                </c:pt>
              </c:strCache>
            </c:strRef>
          </c:cat>
          <c:val>
            <c:numRef>
              <c:f>'Sales &amp; Profit'!$B$4:$B$9</c:f>
              <c:numCache>
                <c:formatCode>General</c:formatCode>
                <c:ptCount val="5"/>
                <c:pt idx="0">
                  <c:v>16901.630000000005</c:v>
                </c:pt>
                <c:pt idx="1">
                  <c:v>18784.490000000002</c:v>
                </c:pt>
                <c:pt idx="2">
                  <c:v>9182.15</c:v>
                </c:pt>
                <c:pt idx="3">
                  <c:v>11579.140000000001</c:v>
                </c:pt>
                <c:pt idx="4">
                  <c:v>11839.599999999999</c:v>
                </c:pt>
              </c:numCache>
            </c:numRef>
          </c:val>
          <c:extLst>
            <c:ext xmlns:c16="http://schemas.microsoft.com/office/drawing/2014/chart" uri="{C3380CC4-5D6E-409C-BE32-E72D297353CC}">
              <c16:uniqueId val="{00000000-5939-4871-9552-37AE9406B5BE}"/>
            </c:ext>
          </c:extLst>
        </c:ser>
        <c:ser>
          <c:idx val="1"/>
          <c:order val="1"/>
          <c:tx>
            <c:strRef>
              <c:f>'Sales &amp; Profit'!$C$3</c:f>
              <c:strCache>
                <c:ptCount val="1"/>
                <c:pt idx="0">
                  <c:v>Sum of Sales</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'Sales &amp; Profit'!$A$4:$A$9</c:f>
              <c:strCache>
                <c:ptCount val="5"/>
                <c:pt idx="0">
                  <c:v>Books</c:v>
                </c:pt>
                <c:pt idx="1">
                  <c:v>Clothing</c:v>
                </c:pt>
                <c:pt idx="2">
                  <c:v>Electronics</c:v>
                </c:pt>
                <c:pt idx="3">
                  <c:v>Furniture</c:v>
                </c:pt>
                <c:pt idx="4">
                  <c:v>Office Supplies</c:v>
                </c:pt>
              </c:strCache>
            </c:strRef>
          </c:cat>
          <c:val>
            <c:numRef>
              <c:f>'Sales &amp; Profit'!$C$4:$C$9</c:f>
              <c:numCache>
                <c:formatCode>General</c:formatCode>
                <c:ptCount val="5"/>
                <c:pt idx="0">
                  <c:v>47002.46</c:v>
                </c:pt>
                <c:pt idx="1">
                  <c:v>41927.590000000011</c:v>
                </c:pt>
                <c:pt idx="2">
                  <c:v>41044.000000000007</c:v>
                </c:pt>
                <c:pt idx="3">
                  <c:v>36612.89</c:v>
                </c:pt>
                <c:pt idx="4">
                  <c:v>28630.819999999989</c:v>
                </c:pt>
              </c:numCache>
            </c:numRef>
          </c:val>
          <c:extLst>
            <c:ext xmlns:c16="http://schemas.microsoft.com/office/drawing/2014/chart" uri="{C3380CC4-5D6E-409C-BE32-E72D297353CC}">
              <c16:uniqueId val="{00000001-5939-4871-9552-37AE9406B5BE}"/>
            </c:ext>
          </c:extLst>
        </c:ser>
        <c:dLbls>
          <c:showLegendKey val="0"/>
          <c:showVal val="0"/>
          <c:showCatName val="0"/>
          <c:showSerName val="0"/>
          <c:showPercent val="0"/>
          <c:showBubbleSize val="0"/>
        </c:dLbls>
        <c:gapWidth val="100"/>
        <c:overlap val="-24"/>
        <c:axId val="801034367"/>
        <c:axId val="801031007"/>
      </c:barChart>
      <c:catAx>
        <c:axId val="80103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1031007"/>
        <c:crosses val="autoZero"/>
        <c:auto val="1"/>
        <c:lblAlgn val="ctr"/>
        <c:lblOffset val="100"/>
        <c:noMultiLvlLbl val="0"/>
      </c:catAx>
      <c:valAx>
        <c:axId val="80103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103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Analyzer.xlsx]Profit By Region!PivotTable1</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'Profit By Region'!$B$3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094-423C-AC25-CDC27AE6FA4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094-423C-AC25-CDC27AE6FA4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094-423C-AC25-CDC27AE6FA4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094-423C-AC25-CDC27AE6FA4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094-423C-AC25-CDC27AE6FA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'Profit By Region'!$A$4:$A$9</c:f>
              <c:strCache>
                <c:ptCount val="5"/>
                <c:pt idx="0">
                  <c:v>Central</c:v>
                </c:pt>
                <c:pt idx="1">
                  <c:v>East</c:v>
                </c:pt>
                <c:pt idx="2">
                  <c:v>North</c:v>
                </c:pt>
                <c:pt idx="3">
                  <c:v>South</c:v>
                </c:pt>
                <c:pt idx="4">
                  <c:v>West</c:v>
                </c:pt>
              </c:strCache>
            </c:strRef>
          </c:cat>
          <c:val>
            <c:numRef>
              <c:f>'Profit By Region'!$B$4:$B$9</c:f>
              <c:numCache>
                <c:formatCode>General</c:formatCode>
                <c:ptCount val="5"/>
                <c:pt idx="0">
                  <c:v>16068.399999999998</c:v>
                </c:pt>
                <c:pt idx="1">
                  <c:v>11638.59</c:v>
                </c:pt>
                <c:pt idx="2">
                  <c:v>11902.280000000002</c:v>
                </c:pt>
                <c:pt idx="3">
                  <c:v>13691.910000000005</c:v>
                </c:pt>
                <c:pt idx="4">
                  <c:v>14985.830000000002</c:v>
                </c:pt>
              </c:numCache>
            </c:numRef>
          </c:val>
          <c:extLst>
            <c:ext xmlns:c16="http://schemas.microsoft.com/office/drawing/2014/chart" uri="{C3380CC4-5D6E-409C-BE32-E72D297353CC}">
              <c16:uniqueId val="{00000000-DD14-4044-9747-21C86953573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 2 Analyzer.xlsx]Monthly Sales Growth!PivotTable2</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Sales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Growth'!$B$3</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Growth'!$A$4:$A$13</c:f>
              <c:strCache>
                <c:ptCount val="9"/>
                <c:pt idx="0">
                  <c:v>Apr</c:v>
                </c:pt>
                <c:pt idx="1">
                  <c:v>May</c:v>
                </c:pt>
                <c:pt idx="2">
                  <c:v>Jun</c:v>
                </c:pt>
                <c:pt idx="3">
                  <c:v>Jul</c:v>
                </c:pt>
                <c:pt idx="4">
                  <c:v>Aug</c:v>
                </c:pt>
                <c:pt idx="5">
                  <c:v>Sep</c:v>
                </c:pt>
                <c:pt idx="6">
                  <c:v>Oct</c:v>
                </c:pt>
                <c:pt idx="7">
                  <c:v>Nov</c:v>
                </c:pt>
                <c:pt idx="8">
                  <c:v>Dec</c:v>
                </c:pt>
              </c:strCache>
            </c:strRef>
          </c:cat>
          <c:val>
            <c:numRef>
              <c:f>'Monthly Sales Growth'!$B$4:$B$13</c:f>
              <c:numCache>
                <c:formatCode>General</c:formatCode>
                <c:ptCount val="9"/>
                <c:pt idx="0">
                  <c:v>19029.960000000003</c:v>
                </c:pt>
                <c:pt idx="1">
                  <c:v>18507.339999999997</c:v>
                </c:pt>
                <c:pt idx="2">
                  <c:v>20187.509999999995</c:v>
                </c:pt>
                <c:pt idx="3">
                  <c:v>11609.039999999999</c:v>
                </c:pt>
                <c:pt idx="4">
                  <c:v>10091.700000000001</c:v>
                </c:pt>
                <c:pt idx="5">
                  <c:v>20533.5</c:v>
                </c:pt>
                <c:pt idx="6">
                  <c:v>14215.240000000002</c:v>
                </c:pt>
                <c:pt idx="7">
                  <c:v>20135.03</c:v>
                </c:pt>
                <c:pt idx="8">
                  <c:v>11120.04</c:v>
                </c:pt>
              </c:numCache>
            </c:numRef>
          </c:val>
          <c:smooth val="0"/>
          <c:extLst>
            <c:ext xmlns:c16="http://schemas.microsoft.com/office/drawing/2014/chart" uri="{C3380CC4-5D6E-409C-BE32-E72D297353CC}">
              <c16:uniqueId val="{00000000-5528-4D76-B78A-718EB916C083}"/>
            </c:ext>
          </c:extLst>
        </c:ser>
        <c:dLbls>
          <c:dLblPos val="ctr"/>
          <c:showLegendKey val="0"/>
          <c:showVal val="1"/>
          <c:showCatName val="0"/>
          <c:showSerName val="0"/>
          <c:showPercent val="0"/>
          <c:showBubbleSize val="0"/>
        </c:dLbls>
        <c:marker val="1"/>
        <c:smooth val="0"/>
        <c:axId val="398999760"/>
        <c:axId val="398996880"/>
      </c:lineChart>
      <c:catAx>
        <c:axId val="398999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8996880"/>
        <c:crosses val="autoZero"/>
        <c:auto val="1"/>
        <c:lblAlgn val="ctr"/>
        <c:lblOffset val="100"/>
        <c:noMultiLvlLbl val="0"/>
      </c:catAx>
      <c:valAx>
        <c:axId val="39899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899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11</xdr:col>
      <xdr:colOff>0</xdr:colOff>
      <xdr:row>1</xdr:row>
      <xdr:rowOff>1</xdr:rowOff>
    </xdr:from>
    <xdr:to>
      <xdr:col>15</xdr:col>
      <xdr:colOff>381000</xdr:colOff>
      <xdr:row>2</xdr:row>
      <xdr:rowOff>68581</xdr:rowOff>
    </xdr:to>
    <xdr:sp macro="" textlink="">
      <xdr:nvSpPr>
        <xdr:cNvPr id="2" name="Rectangle: Rounded Corners 1">
          <a:extLst>
            <a:ext uri="{FF2B5EF4-FFF2-40B4-BE49-F238E27FC236}">
              <a16:creationId xmlns:a16="http://schemas.microsoft.com/office/drawing/2014/main" id="{7DFF889F-9DAF-4BE2-86B9-673331ACEF10}"/>
            </a:ext>
          </a:extLst>
        </xdr:cNvPr>
        <xdr:cNvSpPr/>
      </xdr:nvSpPr>
      <xdr:spPr>
        <a:xfrm>
          <a:off x="9220200" y="182881"/>
          <a:ext cx="2964180" cy="25146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2"/>
              </a:solidFill>
            </a:rPr>
            <a:t>Top</a:t>
          </a:r>
          <a:r>
            <a:rPr lang="en-IN" sz="1800" b="1" baseline="0">
              <a:solidFill>
                <a:schemeClr val="bg2"/>
              </a:solidFill>
            </a:rPr>
            <a:t> 10</a:t>
          </a:r>
          <a:r>
            <a:rPr lang="en-IN" sz="1800" b="1">
              <a:solidFill>
                <a:schemeClr val="bg2"/>
              </a:solidFill>
            </a:rPr>
            <a:t> Customers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3</xdr:row>
      <xdr:rowOff>83820</xdr:rowOff>
    </xdr:from>
    <xdr:to>
      <xdr:col>6</xdr:col>
      <xdr:colOff>525780</xdr:colOff>
      <xdr:row>8</xdr:row>
      <xdr:rowOff>45720</xdr:rowOff>
    </xdr:to>
    <xdr:sp macro="" textlink="">
      <xdr:nvSpPr>
        <xdr:cNvPr id="2" name="Rectangle: Rounded Corners 1">
          <a:extLst>
            <a:ext uri="{FF2B5EF4-FFF2-40B4-BE49-F238E27FC236}">
              <a16:creationId xmlns:a16="http://schemas.microsoft.com/office/drawing/2014/main" id="{08F15A5B-C33E-1EAD-A54B-F55993550BD4}"/>
            </a:ext>
          </a:extLst>
        </xdr:cNvPr>
        <xdr:cNvSpPr/>
      </xdr:nvSpPr>
      <xdr:spPr>
        <a:xfrm>
          <a:off x="2095500" y="632460"/>
          <a:ext cx="2087880" cy="8763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IN" sz="1100" b="1">
              <a:solidFill>
                <a:schemeClr val="dk1"/>
              </a:solidFill>
              <a:effectLst/>
              <a:latin typeface="+mn-lt"/>
              <a:ea typeface="+mn-ea"/>
              <a:cs typeface="+mn-cs"/>
            </a:rPr>
            <a:t>TOTAL SALES</a:t>
          </a:r>
        </a:p>
        <a:p>
          <a:pPr algn="ctr"/>
          <a:endParaRPr lang="en-US">
            <a:effectLst/>
          </a:endParaRPr>
        </a:p>
        <a:p>
          <a:pPr algn="ctr"/>
          <a:r>
            <a:rPr lang="en-US" sz="2000" b="1">
              <a:solidFill>
                <a:srgbClr val="00B050"/>
              </a:solidFill>
              <a:effectLst/>
            </a:rPr>
            <a:t>19,5218</a:t>
          </a:r>
          <a:endParaRPr lang="en-US" b="1">
            <a:solidFill>
              <a:srgbClr val="00B050"/>
            </a:solidFill>
            <a:effectLst/>
          </a:endParaRPr>
        </a:p>
      </xdr:txBody>
    </xdr:sp>
    <xdr:clientData/>
  </xdr:twoCellAnchor>
  <xdr:twoCellAnchor>
    <xdr:from>
      <xdr:col>7</xdr:col>
      <xdr:colOff>396240</xdr:colOff>
      <xdr:row>3</xdr:row>
      <xdr:rowOff>76200</xdr:rowOff>
    </xdr:from>
    <xdr:to>
      <xdr:col>11</xdr:col>
      <xdr:colOff>45720</xdr:colOff>
      <xdr:row>8</xdr:row>
      <xdr:rowOff>38100</xdr:rowOff>
    </xdr:to>
    <xdr:sp macro="" textlink="">
      <xdr:nvSpPr>
        <xdr:cNvPr id="3" name="Rectangle: Rounded Corners 2">
          <a:extLst>
            <a:ext uri="{FF2B5EF4-FFF2-40B4-BE49-F238E27FC236}">
              <a16:creationId xmlns:a16="http://schemas.microsoft.com/office/drawing/2014/main" id="{DFE8FFB2-5778-4A1E-AD9B-CC65D22F2149}"/>
            </a:ext>
          </a:extLst>
        </xdr:cNvPr>
        <xdr:cNvSpPr/>
      </xdr:nvSpPr>
      <xdr:spPr>
        <a:xfrm>
          <a:off x="4663440" y="624840"/>
          <a:ext cx="2087880" cy="8763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TOTAL</a:t>
          </a:r>
          <a:r>
            <a:rPr lang="en-IN" sz="1100" b="1" baseline="0">
              <a:solidFill>
                <a:schemeClr val="dk1"/>
              </a:solidFill>
              <a:effectLst/>
              <a:latin typeface="+mn-lt"/>
              <a:ea typeface="+mn-ea"/>
              <a:cs typeface="+mn-cs"/>
            </a:rPr>
            <a:t> PROFITS</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1" baseline="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rgbClr val="00B050"/>
              </a:solidFill>
              <a:effectLst/>
              <a:latin typeface="+mn-lt"/>
              <a:ea typeface="+mn-ea"/>
              <a:cs typeface="+mn-cs"/>
            </a:rPr>
            <a:t>68,287</a:t>
          </a:r>
          <a:r>
            <a:rPr lang="en-IN" sz="1200" b="1">
              <a:solidFill>
                <a:srgbClr val="00B050"/>
              </a:solidFill>
              <a:effectLst/>
              <a:latin typeface="+mn-lt"/>
              <a:ea typeface="+mn-ea"/>
              <a:cs typeface="+mn-cs"/>
            </a:rPr>
            <a:t> </a:t>
          </a:r>
          <a:endParaRPr lang="en-US" sz="1200" b="1">
            <a:solidFill>
              <a:srgbClr val="00B050"/>
            </a:solidFill>
            <a:effectLst/>
          </a:endParaRPr>
        </a:p>
      </xdr:txBody>
    </xdr:sp>
    <xdr:clientData/>
  </xdr:twoCellAnchor>
  <xdr:twoCellAnchor>
    <xdr:from>
      <xdr:col>15</xdr:col>
      <xdr:colOff>457200</xdr:colOff>
      <xdr:row>3</xdr:row>
      <xdr:rowOff>60960</xdr:rowOff>
    </xdr:from>
    <xdr:to>
      <xdr:col>19</xdr:col>
      <xdr:colOff>106680</xdr:colOff>
      <xdr:row>8</xdr:row>
      <xdr:rowOff>22860</xdr:rowOff>
    </xdr:to>
    <xdr:sp macro="" textlink="">
      <xdr:nvSpPr>
        <xdr:cNvPr id="4" name="Rectangle: Rounded Corners 3">
          <a:extLst>
            <a:ext uri="{FF2B5EF4-FFF2-40B4-BE49-F238E27FC236}">
              <a16:creationId xmlns:a16="http://schemas.microsoft.com/office/drawing/2014/main" id="{8CBCD93A-02E4-4FA1-A915-B44FD28DB6EC}"/>
            </a:ext>
          </a:extLst>
        </xdr:cNvPr>
        <xdr:cNvSpPr/>
      </xdr:nvSpPr>
      <xdr:spPr>
        <a:xfrm>
          <a:off x="9601200" y="609600"/>
          <a:ext cx="2087880" cy="876300"/>
        </a:xfrm>
        <a:prstGeom prst="roundRect">
          <a:avLst/>
        </a:prstGeom>
        <a:solidFill>
          <a:sysClr val="window" lastClr="FFFFFF"/>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TOTAL QUANTITY</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1">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rgbClr val="00B050"/>
              </a:solidFill>
              <a:effectLst/>
              <a:latin typeface="+mn-lt"/>
              <a:ea typeface="+mn-ea"/>
              <a:cs typeface="+mn-cs"/>
            </a:rPr>
            <a:t>1999</a:t>
          </a:r>
          <a:endParaRPr lang="en-US" sz="2000">
            <a:solidFill>
              <a:srgbClr val="00B050"/>
            </a:solidFill>
            <a:effectLst/>
          </a:endParaRPr>
        </a:p>
      </xdr:txBody>
    </xdr:sp>
    <xdr:clientData/>
  </xdr:twoCellAnchor>
  <xdr:twoCellAnchor>
    <xdr:from>
      <xdr:col>11</xdr:col>
      <xdr:colOff>487680</xdr:colOff>
      <xdr:row>3</xdr:row>
      <xdr:rowOff>60960</xdr:rowOff>
    </xdr:from>
    <xdr:to>
      <xdr:col>15</xdr:col>
      <xdr:colOff>137160</xdr:colOff>
      <xdr:row>8</xdr:row>
      <xdr:rowOff>22860</xdr:rowOff>
    </xdr:to>
    <xdr:sp macro="" textlink="">
      <xdr:nvSpPr>
        <xdr:cNvPr id="5" name="Rectangle: Rounded Corners 4">
          <a:extLst>
            <a:ext uri="{FF2B5EF4-FFF2-40B4-BE49-F238E27FC236}">
              <a16:creationId xmlns:a16="http://schemas.microsoft.com/office/drawing/2014/main" id="{24CC557E-5577-4A25-A644-807649A4A0D8}"/>
            </a:ext>
          </a:extLst>
        </xdr:cNvPr>
        <xdr:cNvSpPr/>
      </xdr:nvSpPr>
      <xdr:spPr>
        <a:xfrm>
          <a:off x="7193280" y="609600"/>
          <a:ext cx="2087880" cy="8763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TOTAL ORDERS</a:t>
          </a:r>
          <a:endParaRPr lang="en-US">
            <a:effectLst/>
          </a:endParaRPr>
        </a:p>
        <a:p>
          <a:pPr algn="ctr"/>
          <a:endParaRPr lang="en-US" sz="1100"/>
        </a:p>
        <a:p>
          <a:pPr algn="ctr"/>
          <a:r>
            <a:rPr lang="en-US" sz="2000" b="1">
              <a:solidFill>
                <a:srgbClr val="00B050"/>
              </a:solidFill>
            </a:rPr>
            <a:t>200</a:t>
          </a:r>
        </a:p>
      </xdr:txBody>
    </xdr:sp>
    <xdr:clientData/>
  </xdr:twoCellAnchor>
  <xdr:twoCellAnchor editAs="oneCell">
    <xdr:from>
      <xdr:col>0</xdr:col>
      <xdr:colOff>83820</xdr:colOff>
      <xdr:row>10</xdr:row>
      <xdr:rowOff>53341</xdr:rowOff>
    </xdr:from>
    <xdr:to>
      <xdr:col>2</xdr:col>
      <xdr:colOff>464820</xdr:colOff>
      <xdr:row>19</xdr:row>
      <xdr:rowOff>175260</xdr:rowOff>
    </xdr:to>
    <mc:AlternateContent xmlns:mc="http://schemas.openxmlformats.org/markup-compatibility/2006" xmlns:a14="http://schemas.microsoft.com/office/drawing/2010/main">
      <mc:Choice Requires="a14">
        <xdr:graphicFrame macro="">
          <xdr:nvGraphicFramePr>
            <xdr:cNvPr id="6" name="Product_Category 2">
              <a:extLst>
                <a:ext uri="{FF2B5EF4-FFF2-40B4-BE49-F238E27FC236}">
                  <a16:creationId xmlns:a16="http://schemas.microsoft.com/office/drawing/2014/main" id="{F35751BF-6126-46F3-BDDA-C6A180359FAF}"/>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83820" y="1882141"/>
              <a:ext cx="1600200" cy="1767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2</xdr:row>
      <xdr:rowOff>68580</xdr:rowOff>
    </xdr:from>
    <xdr:to>
      <xdr:col>2</xdr:col>
      <xdr:colOff>464820</xdr:colOff>
      <xdr:row>9</xdr:row>
      <xdr:rowOff>167640</xdr:rowOff>
    </xdr:to>
    <mc:AlternateContent xmlns:mc="http://schemas.openxmlformats.org/markup-compatibility/2006" xmlns:tsle="http://schemas.microsoft.com/office/drawing/2012/timeslicer">
      <mc:Choice Requires="tsle">
        <xdr:graphicFrame macro="">
          <xdr:nvGraphicFramePr>
            <xdr:cNvPr id="8" name="Order_Date 1">
              <a:extLst>
                <a:ext uri="{FF2B5EF4-FFF2-40B4-BE49-F238E27FC236}">
                  <a16:creationId xmlns:a16="http://schemas.microsoft.com/office/drawing/2014/main" id="{724E74EB-7460-40EB-9971-2BEF60938DEF}"/>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06680" y="434340"/>
              <a:ext cx="1577340" cy="13792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167640</xdr:colOff>
      <xdr:row>9</xdr:row>
      <xdr:rowOff>7620</xdr:rowOff>
    </xdr:from>
    <xdr:to>
      <xdr:col>9</xdr:col>
      <xdr:colOff>495300</xdr:colOff>
      <xdr:row>21</xdr:row>
      <xdr:rowOff>91440</xdr:rowOff>
    </xdr:to>
    <xdr:graphicFrame macro="">
      <xdr:nvGraphicFramePr>
        <xdr:cNvPr id="11" name="Chart 10">
          <a:extLst>
            <a:ext uri="{FF2B5EF4-FFF2-40B4-BE49-F238E27FC236}">
              <a16:creationId xmlns:a16="http://schemas.microsoft.com/office/drawing/2014/main" id="{7DD3589C-E7B1-4B1B-955E-448A98390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144780</xdr:colOff>
      <xdr:row>24</xdr:row>
      <xdr:rowOff>76200</xdr:rowOff>
    </xdr:from>
    <xdr:to>
      <xdr:col>9</xdr:col>
      <xdr:colOff>495300</xdr:colOff>
      <xdr:row>38</xdr:row>
      <xdr:rowOff>85121</xdr:rowOff>
    </xdr:to>
    <xdr:pic>
      <xdr:nvPicPr>
        <xdr:cNvPr id="15" name="Picture 14">
          <a:extLst>
            <a:ext uri="{FF2B5EF4-FFF2-40B4-BE49-F238E27FC236}">
              <a16:creationId xmlns:a16="http://schemas.microsoft.com/office/drawing/2014/main" id="{5EBA90A0-DCE4-CD9A-769F-D01EEEFC77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73580" y="4465320"/>
          <a:ext cx="4008120" cy="2569241"/>
        </a:xfrm>
        <a:prstGeom prst="rect">
          <a:avLst/>
        </a:prstGeom>
        <a:ln>
          <a:solidFill>
            <a:sysClr val="windowText" lastClr="000000"/>
          </a:solidFill>
        </a:ln>
      </xdr:spPr>
    </xdr:pic>
    <xdr:clientData/>
  </xdr:twoCellAnchor>
  <xdr:twoCellAnchor>
    <xdr:from>
      <xdr:col>4</xdr:col>
      <xdr:colOff>7620</xdr:colOff>
      <xdr:row>22</xdr:row>
      <xdr:rowOff>91440</xdr:rowOff>
    </xdr:from>
    <xdr:to>
      <xdr:col>8</xdr:col>
      <xdr:colOff>533400</xdr:colOff>
      <xdr:row>23</xdr:row>
      <xdr:rowOff>160020</xdr:rowOff>
    </xdr:to>
    <xdr:sp macro="" textlink="">
      <xdr:nvSpPr>
        <xdr:cNvPr id="16" name="Rectangle: Rounded Corners 15">
          <a:extLst>
            <a:ext uri="{FF2B5EF4-FFF2-40B4-BE49-F238E27FC236}">
              <a16:creationId xmlns:a16="http://schemas.microsoft.com/office/drawing/2014/main" id="{32903459-070C-4691-A95B-A7F0B1CFFD08}"/>
            </a:ext>
          </a:extLst>
        </xdr:cNvPr>
        <xdr:cNvSpPr/>
      </xdr:nvSpPr>
      <xdr:spPr>
        <a:xfrm>
          <a:off x="2446020" y="4114800"/>
          <a:ext cx="2964180" cy="25146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2"/>
              </a:solidFill>
            </a:rPr>
            <a:t>Top</a:t>
          </a:r>
          <a:r>
            <a:rPr lang="en-IN" sz="1800" b="1" baseline="0">
              <a:solidFill>
                <a:schemeClr val="bg2"/>
              </a:solidFill>
            </a:rPr>
            <a:t> 10</a:t>
          </a:r>
          <a:r>
            <a:rPr lang="en-IN" sz="1800" b="1">
              <a:solidFill>
                <a:schemeClr val="bg2"/>
              </a:solidFill>
            </a:rPr>
            <a:t> Customers</a:t>
          </a:r>
        </a:p>
      </xdr:txBody>
    </xdr:sp>
    <xdr:clientData/>
  </xdr:twoCellAnchor>
  <xdr:twoCellAnchor>
    <xdr:from>
      <xdr:col>10</xdr:col>
      <xdr:colOff>99060</xdr:colOff>
      <xdr:row>9</xdr:row>
      <xdr:rowOff>15240</xdr:rowOff>
    </xdr:from>
    <xdr:to>
      <xdr:col>17</xdr:col>
      <xdr:colOff>350520</xdr:colOff>
      <xdr:row>22</xdr:row>
      <xdr:rowOff>68580</xdr:rowOff>
    </xdr:to>
    <xdr:graphicFrame macro="">
      <xdr:nvGraphicFramePr>
        <xdr:cNvPr id="17" name="Chart 16">
          <a:extLst>
            <a:ext uri="{FF2B5EF4-FFF2-40B4-BE49-F238E27FC236}">
              <a16:creationId xmlns:a16="http://schemas.microsoft.com/office/drawing/2014/main" id="{02860023-2ABB-46B4-B015-36ED1AB10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213360</xdr:colOff>
      <xdr:row>23</xdr:row>
      <xdr:rowOff>106680</xdr:rowOff>
    </xdr:from>
    <xdr:to>
      <xdr:col>17</xdr:col>
      <xdr:colOff>388620</xdr:colOff>
      <xdr:row>38</xdr:row>
      <xdr:rowOff>68580</xdr:rowOff>
    </xdr:to>
    <xdr:graphicFrame macro="">
      <xdr:nvGraphicFramePr>
        <xdr:cNvPr id="18" name="Chart 17">
          <a:extLst>
            <a:ext uri="{FF2B5EF4-FFF2-40B4-BE49-F238E27FC236}">
              <a16:creationId xmlns:a16="http://schemas.microsoft.com/office/drawing/2014/main" id="{4311BFF4-70D4-44CB-AEBB-A0A6DBFC1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457200</xdr:colOff>
      <xdr:row>9</xdr:row>
      <xdr:rowOff>38100</xdr:rowOff>
    </xdr:from>
    <xdr:to>
      <xdr:col>22</xdr:col>
      <xdr:colOff>579120</xdr:colOff>
      <xdr:row>21</xdr:row>
      <xdr:rowOff>175260</xdr:rowOff>
    </xdr:to>
    <xdr:graphicFrame macro="">
      <xdr:nvGraphicFramePr>
        <xdr:cNvPr id="19" name="Chart 18">
          <a:extLst>
            <a:ext uri="{FF2B5EF4-FFF2-40B4-BE49-F238E27FC236}">
              <a16:creationId xmlns:a16="http://schemas.microsoft.com/office/drawing/2014/main" id="{FDEAFF33-1500-4F18-A683-9959C026B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426720</xdr:colOff>
      <xdr:row>22</xdr:row>
      <xdr:rowOff>121920</xdr:rowOff>
    </xdr:from>
    <xdr:to>
      <xdr:col>23</xdr:col>
      <xdr:colOff>45720</xdr:colOff>
      <xdr:row>38</xdr:row>
      <xdr:rowOff>68580</xdr:rowOff>
    </xdr:to>
    <xdr:graphicFrame macro="">
      <xdr:nvGraphicFramePr>
        <xdr:cNvPr id="20" name="Chart 19">
          <a:extLst>
            <a:ext uri="{FF2B5EF4-FFF2-40B4-BE49-F238E27FC236}">
              <a16:creationId xmlns:a16="http://schemas.microsoft.com/office/drawing/2014/main" id="{FD0DC218-9761-419A-B8C9-036EC472E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60960</xdr:colOff>
      <xdr:row>20</xdr:row>
      <xdr:rowOff>76200</xdr:rowOff>
    </xdr:from>
    <xdr:to>
      <xdr:col>2</xdr:col>
      <xdr:colOff>464820</xdr:colOff>
      <xdr:row>29</xdr:row>
      <xdr:rowOff>175260</xdr:rowOff>
    </xdr:to>
    <mc:AlternateContent xmlns:mc="http://schemas.openxmlformats.org/markup-compatibility/2006" xmlns:a14="http://schemas.microsoft.com/office/drawing/2010/main">
      <mc:Choice Requires="a14">
        <xdr:graphicFrame macro="">
          <xdr:nvGraphicFramePr>
            <xdr:cNvPr id="22" name="Region 2">
              <a:extLst>
                <a:ext uri="{FF2B5EF4-FFF2-40B4-BE49-F238E27FC236}">
                  <a16:creationId xmlns:a16="http://schemas.microsoft.com/office/drawing/2014/main" id="{D456574B-7003-4027-93DD-5A72767E893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0960" y="3733800"/>
              <a:ext cx="162306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350520</xdr:colOff>
      <xdr:row>3</xdr:row>
      <xdr:rowOff>68580</xdr:rowOff>
    </xdr:from>
    <xdr:to>
      <xdr:col>22</xdr:col>
      <xdr:colOff>571500</xdr:colOff>
      <xdr:row>7</xdr:row>
      <xdr:rowOff>175260</xdr:rowOff>
    </xdr:to>
    <xdr:sp macro="" textlink="">
      <xdr:nvSpPr>
        <xdr:cNvPr id="23" name="Rectangle: Rounded Corners 22">
          <a:extLst>
            <a:ext uri="{FF2B5EF4-FFF2-40B4-BE49-F238E27FC236}">
              <a16:creationId xmlns:a16="http://schemas.microsoft.com/office/drawing/2014/main" id="{E140EE8A-108F-4335-8646-EBA557802734}"/>
            </a:ext>
          </a:extLst>
        </xdr:cNvPr>
        <xdr:cNvSpPr/>
      </xdr:nvSpPr>
      <xdr:spPr>
        <a:xfrm>
          <a:off x="11932920" y="617220"/>
          <a:ext cx="2049780" cy="8382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eaLnBrk="1" fontAlgn="auto" latinLnBrk="0" hangingPunct="1"/>
          <a:r>
            <a:rPr lang="en-IN" sz="1100" b="1" i="0">
              <a:solidFill>
                <a:schemeClr val="dk1"/>
              </a:solidFill>
              <a:effectLst/>
              <a:latin typeface="+mn-lt"/>
              <a:ea typeface="+mn-ea"/>
              <a:cs typeface="+mn-cs"/>
            </a:rPr>
            <a:t>AVG</a:t>
          </a:r>
          <a:r>
            <a:rPr lang="en-IN" sz="1100" b="1" i="0" baseline="0">
              <a:solidFill>
                <a:schemeClr val="dk1"/>
              </a:solidFill>
              <a:effectLst/>
              <a:latin typeface="+mn-lt"/>
              <a:ea typeface="+mn-ea"/>
              <a:cs typeface="+mn-cs"/>
            </a:rPr>
            <a:t> DISCOUNT</a:t>
          </a:r>
          <a:endParaRPr lang="en-US">
            <a:effectLst/>
          </a:endParaRPr>
        </a:p>
        <a:p>
          <a:pPr algn="ctr"/>
          <a:endParaRPr lang="en-US" sz="1100"/>
        </a:p>
        <a:p>
          <a:pPr algn="ctr"/>
          <a:r>
            <a:rPr lang="en-US" sz="2000" b="1">
              <a:solidFill>
                <a:srgbClr val="00B050"/>
              </a:solidFill>
            </a:rPr>
            <a:t>0.097</a:t>
          </a:r>
        </a:p>
      </xdr:txBody>
    </xdr:sp>
    <xdr:clientData/>
  </xdr:twoCellAnchor>
  <xdr:twoCellAnchor>
    <xdr:from>
      <xdr:col>8</xdr:col>
      <xdr:colOff>594360</xdr:colOff>
      <xdr:row>39</xdr:row>
      <xdr:rowOff>137160</xdr:rowOff>
    </xdr:from>
    <xdr:to>
      <xdr:col>13</xdr:col>
      <xdr:colOff>510540</xdr:colOff>
      <xdr:row>41</xdr:row>
      <xdr:rowOff>22860</xdr:rowOff>
    </xdr:to>
    <xdr:sp macro="" textlink="">
      <xdr:nvSpPr>
        <xdr:cNvPr id="7" name="Rectangle: Rounded Corners 6">
          <a:extLst>
            <a:ext uri="{FF2B5EF4-FFF2-40B4-BE49-F238E27FC236}">
              <a16:creationId xmlns:a16="http://schemas.microsoft.com/office/drawing/2014/main" id="{DA89DFCE-19C9-4E0A-AC96-FE93190A9CC5}"/>
            </a:ext>
          </a:extLst>
        </xdr:cNvPr>
        <xdr:cNvSpPr/>
      </xdr:nvSpPr>
      <xdr:spPr>
        <a:xfrm>
          <a:off x="5471160" y="7269480"/>
          <a:ext cx="2964180" cy="25146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2"/>
              </a:solidFill>
            </a:rPr>
            <a:t>CONCLUSION</a:t>
          </a:r>
        </a:p>
      </xdr:txBody>
    </xdr:sp>
    <xdr:clientData/>
  </xdr:twoCellAnchor>
  <xdr:twoCellAnchor>
    <xdr:from>
      <xdr:col>5</xdr:col>
      <xdr:colOff>144780</xdr:colOff>
      <xdr:row>42</xdr:row>
      <xdr:rowOff>22860</xdr:rowOff>
    </xdr:from>
    <xdr:to>
      <xdr:col>18</xdr:col>
      <xdr:colOff>396240</xdr:colOff>
      <xdr:row>54</xdr:row>
      <xdr:rowOff>160020</xdr:rowOff>
    </xdr:to>
    <xdr:sp macro="" textlink="">
      <xdr:nvSpPr>
        <xdr:cNvPr id="9" name="Rectangle: Rounded Corners 8">
          <a:extLst>
            <a:ext uri="{FF2B5EF4-FFF2-40B4-BE49-F238E27FC236}">
              <a16:creationId xmlns:a16="http://schemas.microsoft.com/office/drawing/2014/main" id="{32FFF62E-2219-A803-6C07-2E525A46BE0E}"/>
            </a:ext>
          </a:extLst>
        </xdr:cNvPr>
        <xdr:cNvSpPr/>
      </xdr:nvSpPr>
      <xdr:spPr>
        <a:xfrm>
          <a:off x="3192780" y="7703820"/>
          <a:ext cx="8176260" cy="233172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t>The dashboard highlights that business performance is driven by a small group of customers and key products. While sales are strong, managing discounts and improving underperforming regions/products can significantly enhance profitability.</a:t>
          </a:r>
        </a:p>
        <a:p>
          <a:pPr algn="l"/>
          <a:endParaRPr lang="en-US" sz="1400"/>
        </a:p>
        <a:p>
          <a:pPr algn="l"/>
          <a:r>
            <a:rPr lang="en-US" sz="1400" b="1"/>
            <a:t>Recommendations</a:t>
          </a:r>
        </a:p>
        <a:p>
          <a:r>
            <a:rPr lang="en-US" sz="1400" b="0"/>
            <a:t>Focus on top customers retention </a:t>
          </a:r>
        </a:p>
        <a:p>
          <a:r>
            <a:rPr lang="en-US" sz="1400" b="0"/>
            <a:t>Optimize discount strategies </a:t>
          </a:r>
        </a:p>
        <a:p>
          <a:r>
            <a:rPr lang="en-US" sz="1400" b="0"/>
            <a:t>Improve low-performing regions </a:t>
          </a:r>
        </a:p>
        <a:p>
          <a:r>
            <a:rPr lang="en-US" sz="1400" b="0"/>
            <a:t>Promote high-margin products </a:t>
          </a:r>
        </a:p>
        <a:p>
          <a:r>
            <a:rPr lang="en-US" sz="1400" b="0"/>
            <a:t>Monitor sales trends regularly </a:t>
          </a:r>
        </a:p>
        <a:p>
          <a:pPr algn="l"/>
          <a:endParaRPr lang="en-US" sz="14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0</xdr:row>
      <xdr:rowOff>125730</xdr:rowOff>
    </xdr:from>
    <xdr:to>
      <xdr:col>11</xdr:col>
      <xdr:colOff>243840</xdr:colOff>
      <xdr:row>19</xdr:row>
      <xdr:rowOff>15240</xdr:rowOff>
    </xdr:to>
    <xdr:graphicFrame macro="">
      <xdr:nvGraphicFramePr>
        <xdr:cNvPr id="3" name="Chart 2">
          <a:extLst>
            <a:ext uri="{FF2B5EF4-FFF2-40B4-BE49-F238E27FC236}">
              <a16:creationId xmlns:a16="http://schemas.microsoft.com/office/drawing/2014/main" id="{79BCF5E7-15E1-4AAF-55CF-E3A0578F0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10</xdr:row>
      <xdr:rowOff>38101</xdr:rowOff>
    </xdr:from>
    <xdr:to>
      <xdr:col>2</xdr:col>
      <xdr:colOff>198120</xdr:colOff>
      <xdr:row>20</xdr:row>
      <xdr:rowOff>30481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11D21EF-F58D-5CA2-C2DD-C3EC57AB6F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80" y="1866901"/>
              <a:ext cx="1828800" cy="1821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137160</xdr:colOff>
      <xdr:row>11</xdr:row>
      <xdr:rowOff>106680</xdr:rowOff>
    </xdr:from>
    <xdr:to>
      <xdr:col>3</xdr:col>
      <xdr:colOff>327660</xdr:colOff>
      <xdr:row>19</xdr:row>
      <xdr:rowOff>0</xdr:rowOff>
    </xdr:to>
    <mc:AlternateContent xmlns:mc="http://schemas.openxmlformats.org/markup-compatibility/2006" xmlns:tsle="http://schemas.microsoft.com/office/drawing/2012/timeslicer">
      <mc:Choice Requires="tsle">
        <xdr:graphicFrame macro="">
          <xdr:nvGraphicFramePr>
            <xdr:cNvPr id="3" name="Order_Date 2">
              <a:extLst>
                <a:ext uri="{FF2B5EF4-FFF2-40B4-BE49-F238E27FC236}">
                  <a16:creationId xmlns:a16="http://schemas.microsoft.com/office/drawing/2014/main" id="{C93EF490-9651-6D93-D439-511033A146E0}"/>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137160" y="2118360"/>
              <a:ext cx="2712720" cy="13563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0</xdr:colOff>
      <xdr:row>8</xdr:row>
      <xdr:rowOff>87630</xdr:rowOff>
    </xdr:from>
    <xdr:to>
      <xdr:col>11</xdr:col>
      <xdr:colOff>304800</xdr:colOff>
      <xdr:row>23</xdr:row>
      <xdr:rowOff>87630</xdr:rowOff>
    </xdr:to>
    <xdr:graphicFrame macro="">
      <xdr:nvGraphicFramePr>
        <xdr:cNvPr id="4" name="Chart 3">
          <a:extLst>
            <a:ext uri="{FF2B5EF4-FFF2-40B4-BE49-F238E27FC236}">
              <a16:creationId xmlns:a16="http://schemas.microsoft.com/office/drawing/2014/main" id="{BF312EE0-BD38-3B93-5131-FD4E67285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365760</xdr:colOff>
      <xdr:row>2</xdr:row>
      <xdr:rowOff>19050</xdr:rowOff>
    </xdr:from>
    <xdr:to>
      <xdr:col>11</xdr:col>
      <xdr:colOff>60960</xdr:colOff>
      <xdr:row>17</xdr:row>
      <xdr:rowOff>19050</xdr:rowOff>
    </xdr:to>
    <xdr:graphicFrame macro="">
      <xdr:nvGraphicFramePr>
        <xdr:cNvPr id="4" name="Chart 3">
          <a:extLst>
            <a:ext uri="{FF2B5EF4-FFF2-40B4-BE49-F238E27FC236}">
              <a16:creationId xmlns:a16="http://schemas.microsoft.com/office/drawing/2014/main" id="{F08B943C-5743-8DE5-9DC6-A0955DF81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9</xdr:row>
      <xdr:rowOff>106681</xdr:rowOff>
    </xdr:from>
    <xdr:to>
      <xdr:col>2</xdr:col>
      <xdr:colOff>228600</xdr:colOff>
      <xdr:row>19</xdr:row>
      <xdr:rowOff>114301</xdr:rowOff>
    </xdr:to>
    <mc:AlternateContent xmlns:mc="http://schemas.openxmlformats.org/markup-compatibility/2006" xmlns:a14="http://schemas.microsoft.com/office/drawing/2010/main">
      <mc:Choice Requires="a14">
        <xdr:graphicFrame macro="">
          <xdr:nvGraphicFramePr>
            <xdr:cNvPr id="6" name="Product_Category 1">
              <a:extLst>
                <a:ext uri="{FF2B5EF4-FFF2-40B4-BE49-F238E27FC236}">
                  <a16:creationId xmlns:a16="http://schemas.microsoft.com/office/drawing/2014/main" id="{F749CF06-0713-DC50-E88B-17F04E15A750}"/>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29540" y="1752601"/>
              <a:ext cx="1828800" cy="1836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464820</xdr:colOff>
      <xdr:row>0</xdr:row>
      <xdr:rowOff>148590</xdr:rowOff>
    </xdr:from>
    <xdr:to>
      <xdr:col>8</xdr:col>
      <xdr:colOff>38100</xdr:colOff>
      <xdr:row>15</xdr:row>
      <xdr:rowOff>148590</xdr:rowOff>
    </xdr:to>
    <xdr:graphicFrame macro="">
      <xdr:nvGraphicFramePr>
        <xdr:cNvPr id="2" name="Chart 1">
          <a:extLst>
            <a:ext uri="{FF2B5EF4-FFF2-40B4-BE49-F238E27FC236}">
              <a16:creationId xmlns:a16="http://schemas.microsoft.com/office/drawing/2014/main" id="{AF6FE2AC-4F00-4B9A-A5DC-04475DD6D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205740</xdr:colOff>
      <xdr:row>2</xdr:row>
      <xdr:rowOff>41910</xdr:rowOff>
    </xdr:from>
    <xdr:to>
      <xdr:col>10</xdr:col>
      <xdr:colOff>510540</xdr:colOff>
      <xdr:row>17</xdr:row>
      <xdr:rowOff>41910</xdr:rowOff>
    </xdr:to>
    <xdr:graphicFrame macro="">
      <xdr:nvGraphicFramePr>
        <xdr:cNvPr id="2" name="Chart 1">
          <a:extLst>
            <a:ext uri="{FF2B5EF4-FFF2-40B4-BE49-F238E27FC236}">
              <a16:creationId xmlns:a16="http://schemas.microsoft.com/office/drawing/2014/main" id="{B65A2D75-FFDB-BABE-0C71-959C8B0AD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37630</xdr:colOff>
      <xdr:row>17</xdr:row>
      <xdr:rowOff>125870</xdr:rowOff>
    </xdr:from>
    <xdr:to>
      <xdr:col>2</xdr:col>
      <xdr:colOff>18815</xdr:colOff>
      <xdr:row>25</xdr:row>
      <xdr:rowOff>67544</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D77F28D9-EEAE-971D-A178-C787CAF3EA2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7630" y="3164463"/>
              <a:ext cx="168392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40.430151736109" createdVersion="8" refreshedVersion="8" minRefreshableVersion="3" recordCount="200" xr:uid="{A3C5434D-757B-4AC8-9BF3-10AF20E188D9}">
  <cacheSource type="worksheet">
    <worksheetSource name="Table1"/>
  </cacheSource>
  <cacheFields count="12">
    <cacheField name="Customer_ID" numFmtId="0">
      <sharedItems/>
    </cacheField>
    <cacheField name="Customer_Name" numFmtId="0">
      <sharedItems/>
    </cacheField>
    <cacheField name="Region" numFmtId="0">
      <sharedItems count="5">
        <s v="West"/>
        <s v="North"/>
        <s v="Central"/>
        <s v="South"/>
        <s v="East"/>
      </sharedItems>
    </cacheField>
    <cacheField name="Product_Category" numFmtId="0">
      <sharedItems count="5">
        <s v="Electronics"/>
        <s v="Books"/>
        <s v="Furniture"/>
        <s v="Clothing"/>
        <s v="Office Supplies"/>
      </sharedItems>
    </cacheField>
    <cacheField name="Sales" numFmtId="0">
      <sharedItems containsSemiMixedTypes="0" containsString="0" containsNumber="1" minValue="258.51" maxValue="1923.66" count="200">
        <n v="1317.53"/>
        <n v="636.70000000000005"/>
        <n v="853.72"/>
        <n v="1077.92"/>
        <n v="894.55"/>
        <n v="1432.47"/>
        <n v="336.66"/>
        <n v="942.9"/>
        <n v="876.44"/>
        <n v="1410.59"/>
        <n v="806.03"/>
        <n v="827.25"/>
        <n v="1618.22"/>
        <n v="1248.82"/>
        <n v="1005.53"/>
        <n v="1034.7"/>
        <n v="1335.87"/>
        <n v="1158.94"/>
        <n v="902.19"/>
        <n v="661.09"/>
        <n v="704.28"/>
        <n v="438.76"/>
        <n v="518.07000000000005"/>
        <n v="1443.98"/>
        <n v="1277.8499999999999"/>
        <n v="1589.42"/>
        <n v="1311.26"/>
        <n v="573.32000000000005"/>
        <n v="1099.69"/>
        <n v="760.93"/>
        <n v="1502.93"/>
        <n v="1151.21"/>
        <n v="919.04"/>
        <n v="1261.3399999999999"/>
        <n v="1070.68"/>
        <n v="1506.14"/>
        <n v="1193.6099999999999"/>
        <n v="965.64"/>
        <n v="1191.58"/>
        <n v="953.3"/>
        <n v="939.09"/>
        <n v="1021.47"/>
        <n v="679.71"/>
        <n v="1101.55"/>
        <n v="833.91"/>
        <n v="1493.49"/>
        <n v="762.14"/>
        <n v="877.58"/>
        <n v="773.09"/>
        <n v="775.45"/>
        <n v="804.81"/>
        <n v="1014.09"/>
        <n v="1081.1400000000001"/>
        <n v="1014.22"/>
        <n v="1076.33"/>
        <n v="1250.71"/>
        <n v="1093.3800000000001"/>
        <n v="501.54"/>
        <n v="818.8"/>
        <n v="771.02"/>
        <n v="1350.33"/>
        <n v="1189.83"/>
        <n v="689.43"/>
        <n v="1184.25"/>
        <n v="737.31"/>
        <n v="1173.1199999999999"/>
        <n v="488.99"/>
        <n v="862.19"/>
        <n v="997.61"/>
        <n v="1001.57"/>
        <n v="1213.48"/>
        <n v="662.61"/>
        <n v="884.63"/>
        <n v="1101.28"/>
        <n v="925.31"/>
        <n v="472.38"/>
        <n v="1360.36"/>
        <n v="804.45"/>
        <n v="1215.26"/>
        <n v="925.29"/>
        <n v="688.83"/>
        <n v="845.84"/>
        <n v="727.73"/>
        <n v="1249.0999999999999"/>
        <n v="1171.18"/>
        <n v="1014.43"/>
        <n v="1572.82"/>
        <n v="1343.13"/>
        <n v="961.62"/>
        <n v="853.86"/>
        <n v="1064.19"/>
        <n v="934.27"/>
        <n v="1200.9000000000001"/>
        <n v="1226.6199999999999"/>
        <n v="1168.8900000000001"/>
        <n v="1923.66"/>
        <n v="820.19"/>
        <n v="511.74"/>
        <n v="1054.56"/>
        <n v="1681.21"/>
        <n v="379.77"/>
        <n v="1098.08"/>
        <n v="545.44000000000005"/>
        <n v="580.42999999999995"/>
        <n v="990.19"/>
        <n v="870.23"/>
        <n v="928.32"/>
        <n v="713.34"/>
        <n v="856.7"/>
        <n v="826.93"/>
        <n v="1022.23"/>
        <n v="966.3"/>
        <n v="1061.04"/>
        <n v="640.64"/>
        <n v="826.97"/>
        <n v="1456.94"/>
        <n v="1036.0899999999999"/>
        <n v="743.17"/>
        <n v="840.92"/>
        <n v="1301.8900000000001"/>
        <n v="718.04"/>
        <n v="1371.34"/>
        <n v="981.2"/>
        <n v="1143.69"/>
        <n v="917.48"/>
        <n v="967.89"/>
        <n v="840.85"/>
        <n v="1186.8499999999999"/>
        <n v="1383.3"/>
        <n v="1020.26"/>
        <n v="1205.82"/>
        <n v="1150.28"/>
        <n v="984.93"/>
        <n v="388.56"/>
        <n v="1023.21"/>
        <n v="1264.49"/>
        <n v="388.23"/>
        <n v="1353.79"/>
        <n v="822.28"/>
        <n v="706.37"/>
        <n v="556.41999999999996"/>
        <n v="873.7"/>
        <n v="1154.33"/>
        <n v="1118.3399999999999"/>
        <n v="682.24"/>
        <n v="539.77"/>
        <n v="1526.6"/>
        <n v="980.18"/>
        <n v="706.73"/>
        <n v="1622.62"/>
        <n v="741.88"/>
        <n v="1465.35"/>
        <n v="1450.71"/>
        <n v="1225.42"/>
        <n v="1286.54"/>
        <n v="728.71"/>
        <n v="1010.58"/>
        <n v="1014.56"/>
        <n v="1074.47"/>
        <n v="645.02"/>
        <n v="1227.25"/>
        <n v="933.71"/>
        <n v="1111.3399999999999"/>
        <n v="957.29"/>
        <n v="1231.26"/>
        <n v="1161.67"/>
        <n v="1029.8"/>
        <n v="875.41"/>
        <n v="585.97"/>
        <n v="697.57"/>
        <n v="258.51"/>
        <n v="1488.58"/>
        <n v="983.34"/>
        <n v="801.21"/>
        <n v="1410.06"/>
        <n v="1025.98"/>
        <n v="790.08"/>
        <n v="1163.01"/>
        <n v="309.42"/>
        <n v="745.05"/>
        <n v="1115.22"/>
        <n v="710.52"/>
        <n v="499.18"/>
        <n v="740.8"/>
        <n v="521.66999999999996"/>
        <n v="741.61"/>
        <n v="1100.0999999999999"/>
        <n v="1172.97"/>
        <n v="919.18"/>
        <n v="864.98"/>
        <n v="458.54"/>
        <n v="847"/>
        <n v="675.54"/>
        <n v="1086.93"/>
        <n v="973.26"/>
        <n v="608.66"/>
        <n v="1291.47"/>
        <n v="585.16"/>
        <n v="1109.98"/>
        <n v="750.71"/>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6T00:00:00"/>
        <d v="2024-04-29T00:00:00"/>
        <d v="2024-05-16T00:00:00"/>
        <d v="2024-11-12T00:00:00"/>
        <d v="2024-11-29T00:00:00"/>
        <d v="2024-12-14T00:00:00"/>
        <d v="2024-12-25T00:00:00"/>
        <d v="2024-06-23T00:00:00"/>
        <d v="2024-07-15T00:00:00"/>
        <d v="2024-11-19T00:00:00"/>
        <d v="2024-12-12T00:00:00"/>
        <d v="2025-02-05T00:00:00"/>
        <d v="2025-02-24T00:00:00"/>
        <d v="2024-06-30T00:00:00"/>
        <d v="2024-07-08T00:00:00"/>
        <d v="2024-07-14T00:00:00"/>
        <d v="2024-09-09T00:00:00"/>
        <d v="2024-09-18T00:00:00"/>
        <d v="2024-09-29T00:00:00"/>
        <d v="2024-10-28T00:00:00"/>
        <d v="2025-03-10T00:00:00"/>
        <d v="2024-08-18T00:00:00"/>
        <d v="2024-09-12T00:00:00"/>
        <d v="2024-11-17T00:00:00"/>
        <d v="2025-02-10T00:00:00"/>
        <d v="2025-02-15T00:00:00"/>
        <d v="2025-03-02T00:00:00"/>
        <d v="2024-04-14T00:00:00"/>
        <d v="2024-04-28T00:00:00"/>
        <d v="2024-06-02T00:00:00"/>
        <d v="2024-06-25T00:00:00"/>
        <d v="2024-08-15T00:00:00"/>
        <d v="2024-09-01T00:00:00"/>
        <d v="2024-04-30T00:00:00"/>
        <d v="2024-10-19T00:00:00"/>
        <d v="2024-04-24T00:00:00"/>
        <d v="2024-05-03T00:00:00"/>
        <d v="2024-05-10T00:00:00"/>
        <d v="2024-06-18T00:00:00"/>
        <d v="2024-08-30T00:00:00"/>
        <d v="2024-09-16T00:00:00"/>
        <d v="2024-11-30T00:00:00"/>
        <d v="2025-03-18T00:00:00"/>
        <d v="2025-03-27T00:00:00"/>
        <d v="2024-05-22T00:00:00"/>
        <d v="2024-06-14T00:00:00"/>
        <d v="2024-07-29T00:00:00"/>
        <d v="2024-10-02T00:00:00"/>
        <d v="2024-10-12T00:00:00"/>
        <d v="2024-11-03T00:00:00"/>
        <d v="2025-01-17T00:00:00"/>
        <d v="2025-03-29T00:00:00"/>
        <d v="2024-04-19T00:00:00"/>
        <d v="2024-10-20T00:00:00"/>
        <d v="2025-02-21T00:00:00"/>
        <d v="2025-03-20T00:00:00"/>
        <d v="2025-03-26T00:00:00"/>
        <d v="2024-05-06T00:00:00"/>
        <d v="2024-07-06T00:00:00"/>
        <d v="2025-01-06T00:00:00"/>
        <d v="2025-04-05T00:00:00"/>
        <d v="2024-06-07T00:00:00"/>
        <d v="2024-11-20T00:00:00"/>
        <d v="2025-01-01T00:00:00"/>
        <d v="2025-01-02T00:00:00"/>
        <d v="2024-04-11T00:00:00"/>
        <d v="2024-05-17T00:00:00"/>
        <d v="2024-08-05T00:00:00"/>
        <d v="2024-08-09T00:00:00"/>
        <d v="2024-10-05T00:00:00"/>
        <d v="2024-10-30T00:00:00"/>
        <d v="2025-02-19T00:00:00"/>
        <d v="2024-09-17T00:00:00"/>
        <d v="2024-11-01T00:00:00"/>
        <d v="2025-01-10T00:00:00"/>
        <d v="2025-02-25T00:00:00"/>
        <d v="2024-04-20T00:00:00"/>
        <d v="2024-04-22T00:00:00"/>
        <d v="2024-11-26T00:00:00"/>
        <d v="2025-03-09T00:00:00"/>
        <d v="2025-03-30T00:00:00"/>
        <d v="2024-06-20T00:00:00"/>
        <d v="2024-10-15T00:00:00"/>
        <d v="2024-12-04T00:00:00"/>
        <d v="2024-12-05T00:00:00"/>
        <d v="2025-01-12T00:00:00"/>
        <d v="2025-01-13T00:00:00"/>
        <d v="2025-01-16T00:00:00"/>
        <d v="2025-02-04T00:00:00"/>
        <d v="2024-05-23T00:00:00"/>
        <d v="2024-09-30T00:00:00"/>
        <d v="2025-01-03T00:00:00"/>
        <d v="2025-04-07T00:00:00"/>
        <d v="2024-06-06T00:00:00"/>
        <d v="2025-03-01T00:00:00"/>
        <d v="2024-09-22T00:00:00"/>
        <d v="2024-11-28T00:00:00"/>
        <d v="2025-01-21T00:00:00"/>
        <d v="2025-02-27T00:00:00"/>
        <d v="2024-04-10T00:00:00"/>
        <d v="2024-05-04T00:00:00"/>
        <d v="2024-10-16T00:00:00"/>
        <d v="2024-07-31T00:00:00"/>
        <d v="2024-09-23T00:00:00"/>
        <d v="2024-06-05T00:00:00"/>
        <d v="2024-06-08T00:00:00"/>
        <d v="2024-07-05T00:00:00"/>
        <d v="2024-07-21T00:00:00"/>
        <d v="2024-09-24T00:00:00"/>
        <d v="2025-03-17T00:00:00"/>
        <d v="2024-09-14T00:00:00"/>
        <d v="2024-12-24T00:00:00"/>
        <d v="2024-12-30T00:00:00"/>
        <d v="2024-06-04T00:00:00"/>
        <d v="2024-09-11T00:00:00"/>
        <d v="2025-03-22T00:00:00"/>
        <d v="2024-08-08T00:00:00"/>
        <d v="2024-10-17T00:00:00"/>
        <d v="2025-01-20T00:00:00"/>
        <d v="2025-02-07T00:00:00"/>
        <d v="2024-05-15T00:00:00"/>
        <d v="2024-10-10T00:00:00"/>
        <d v="2024-11-09T00:00:00"/>
        <d v="2024-11-16T00:00:00"/>
        <d v="2024-05-02T00:00:00"/>
        <d v="2024-08-19T00:00:00"/>
        <d v="2024-12-20T00:00:00"/>
        <d v="2024-12-21T00:00:00"/>
        <d v="2025-02-20T00:00:00"/>
        <d v="2024-05-14T00:00:00"/>
        <d v="2024-11-15T00:00:00"/>
        <d v="2025-02-17T00:00:00"/>
        <d v="2025-03-05T00:00:00"/>
        <d v="2025-03-08T00:00:00"/>
        <d v="2025-04-02T00:00:00"/>
        <d v="2024-04-27T00:00:00"/>
        <d v="2024-06-28T00:00:00"/>
        <d v="2024-07-09T00:00:00"/>
        <d v="2025-03-11T00:00:00"/>
        <d v="2025-03-25T00:00:00"/>
        <d v="2024-04-15T00:00:00"/>
        <d v="2024-05-08T00:00:00"/>
        <d v="2024-06-21T00:00:00"/>
        <d v="2024-06-27T00:00:00"/>
        <d v="2024-07-30T00:00:00"/>
        <d v="2024-08-22T00:00:00"/>
        <d v="2025-01-27T00:00:00"/>
        <d v="2025-02-02T00:00:00"/>
      </sharedItems>
      <fieldGroup par="11"/>
    </cacheField>
    <cacheField name="Profit" numFmtId="0">
      <sharedItems containsSemiMixedTypes="0" containsString="0" containsNumber="1" minValue="64.63" maxValue="769.46"/>
    </cacheField>
    <cacheField name="Months (Order_Date)" numFmtId="0" databaseField="0">
      <fieldGroup base="7">
        <rangePr groupBy="months" startDate="2024-04-10T00:00:00" endDate="2025-04-08T00:00:00"/>
        <groupItems count="14">
          <s v="&lt;4/10/2024"/>
          <s v="Jan"/>
          <s v="Feb"/>
          <s v="Mar"/>
          <s v="Apr"/>
          <s v="May"/>
          <s v="Jun"/>
          <s v="Jul"/>
          <s v="Aug"/>
          <s v="Sep"/>
          <s v="Oct"/>
          <s v="Nov"/>
          <s v="Dec"/>
          <s v="&gt;4/8/2025"/>
        </groupItems>
      </fieldGroup>
    </cacheField>
    <cacheField name="Quarters (Order_Date)" numFmtId="0" databaseField="0">
      <fieldGroup base="7">
        <rangePr groupBy="quarters" startDate="2024-04-10T00:00:00" endDate="2025-04-08T00:00:00"/>
        <groupItems count="6">
          <s v="&lt;4/10/2024"/>
          <s v="Qtr1"/>
          <s v="Qtr2"/>
          <s v="Qtr3"/>
          <s v="Qtr4"/>
          <s v="&gt;4/8/2025"/>
        </groupItems>
      </fieldGroup>
    </cacheField>
    <cacheField name="Years (Order_Date)" numFmtId="0" databaseField="0">
      <fieldGroup base="7">
        <rangePr groupBy="years" startDate="2024-04-10T00:00:00" endDate="2025-04-08T00:00:00"/>
        <groupItems count="4">
          <s v="&lt;4/10/2024"/>
          <s v="2024"/>
          <s v="2025"/>
          <s v="&gt;4/8/2025"/>
        </groupItems>
      </fieldGroup>
    </cacheField>
  </cacheFields>
  <extLst>
    <ext xmlns:x14="http://schemas.microsoft.com/office/spreadsheetml/2009/9/main" uri="{725AE2AE-9491-48be-B2B4-4EB974FC3084}">
      <x14:pivotCacheDefinition pivotCacheId="15876871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44.918089583334" createdVersion="8" refreshedVersion="8" minRefreshableVersion="3" recordCount="200" xr:uid="{56E71FBE-36C8-4775-B20F-4257D28A9EB1}">
  <cacheSource type="worksheet">
    <worksheetSource name="Table1"/>
  </cacheSource>
  <cacheFields count="10">
    <cacheField name="Customer_ID" numFmtId="0">
      <sharedItems/>
    </cacheField>
    <cacheField name="Customer_Name" numFmtId="0">
      <sharedItems/>
    </cacheField>
    <cacheField name="Region" numFmtId="0">
      <sharedItems/>
    </cacheField>
    <cacheField name="Product_Category" numFmtId="0">
      <sharedItems count="5">
        <s v="Electronics"/>
        <s v="Books"/>
        <s v="Furniture"/>
        <s v="Clothing"/>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6T00:00:00"/>
        <d v="2024-04-29T00:00:00"/>
        <d v="2024-05-16T00:00:00"/>
        <d v="2024-11-12T00:00:00"/>
        <d v="2024-11-29T00:00:00"/>
        <d v="2024-12-14T00:00:00"/>
        <d v="2024-12-25T00:00:00"/>
        <d v="2024-06-23T00:00:00"/>
        <d v="2024-07-15T00:00:00"/>
        <d v="2024-11-19T00:00:00"/>
        <d v="2024-12-12T00:00:00"/>
        <d v="2025-02-05T00:00:00"/>
        <d v="2025-02-24T00:00:00"/>
        <d v="2024-06-30T00:00:00"/>
        <d v="2024-07-08T00:00:00"/>
        <d v="2024-07-14T00:00:00"/>
        <d v="2024-09-09T00:00:00"/>
        <d v="2024-09-18T00:00:00"/>
        <d v="2024-09-29T00:00:00"/>
        <d v="2024-10-28T00:00:00"/>
        <d v="2025-03-10T00:00:00"/>
        <d v="2024-08-18T00:00:00"/>
        <d v="2024-09-12T00:00:00"/>
        <d v="2024-11-17T00:00:00"/>
        <d v="2025-02-10T00:00:00"/>
        <d v="2025-02-15T00:00:00"/>
        <d v="2025-03-02T00:00:00"/>
        <d v="2024-04-14T00:00:00"/>
        <d v="2024-04-28T00:00:00"/>
        <d v="2024-06-02T00:00:00"/>
        <d v="2024-06-25T00:00:00"/>
        <d v="2024-08-15T00:00:00"/>
        <d v="2024-09-01T00:00:00"/>
        <d v="2024-04-30T00:00:00"/>
        <d v="2024-10-19T00:00:00"/>
        <d v="2024-04-24T00:00:00"/>
        <d v="2024-05-03T00:00:00"/>
        <d v="2024-05-10T00:00:00"/>
        <d v="2024-06-18T00:00:00"/>
        <d v="2024-08-30T00:00:00"/>
        <d v="2024-09-16T00:00:00"/>
        <d v="2024-11-30T00:00:00"/>
        <d v="2025-03-18T00:00:00"/>
        <d v="2025-03-27T00:00:00"/>
        <d v="2024-05-22T00:00:00"/>
        <d v="2024-06-14T00:00:00"/>
        <d v="2024-07-29T00:00:00"/>
        <d v="2024-10-02T00:00:00"/>
        <d v="2024-10-12T00:00:00"/>
        <d v="2024-11-03T00:00:00"/>
        <d v="2025-01-17T00:00:00"/>
        <d v="2025-03-29T00:00:00"/>
        <d v="2024-04-19T00:00:00"/>
        <d v="2024-10-20T00:00:00"/>
        <d v="2025-02-21T00:00:00"/>
        <d v="2025-03-20T00:00:00"/>
        <d v="2025-03-26T00:00:00"/>
        <d v="2024-05-06T00:00:00"/>
        <d v="2024-07-06T00:00:00"/>
        <d v="2025-01-06T00:00:00"/>
        <d v="2025-04-05T00:00:00"/>
        <d v="2024-06-07T00:00:00"/>
        <d v="2024-11-20T00:00:00"/>
        <d v="2025-01-01T00:00:00"/>
        <d v="2025-01-02T00:00:00"/>
        <d v="2024-04-11T00:00:00"/>
        <d v="2024-05-17T00:00:00"/>
        <d v="2024-08-05T00:00:00"/>
        <d v="2024-08-09T00:00:00"/>
        <d v="2024-10-05T00:00:00"/>
        <d v="2024-10-30T00:00:00"/>
        <d v="2025-02-19T00:00:00"/>
        <d v="2024-09-17T00:00:00"/>
        <d v="2024-11-01T00:00:00"/>
        <d v="2025-01-10T00:00:00"/>
        <d v="2025-02-25T00:00:00"/>
        <d v="2024-04-20T00:00:00"/>
        <d v="2024-04-22T00:00:00"/>
        <d v="2024-11-26T00:00:00"/>
        <d v="2025-03-09T00:00:00"/>
        <d v="2025-03-30T00:00:00"/>
        <d v="2024-06-20T00:00:00"/>
        <d v="2024-10-15T00:00:00"/>
        <d v="2024-12-04T00:00:00"/>
        <d v="2024-12-05T00:00:00"/>
        <d v="2025-01-12T00:00:00"/>
        <d v="2025-01-13T00:00:00"/>
        <d v="2025-01-16T00:00:00"/>
        <d v="2025-02-04T00:00:00"/>
        <d v="2024-05-23T00:00:00"/>
        <d v="2024-09-30T00:00:00"/>
        <d v="2025-01-03T00:00:00"/>
        <d v="2025-04-07T00:00:00"/>
        <d v="2024-06-06T00:00:00"/>
        <d v="2025-03-01T00:00:00"/>
        <d v="2024-09-22T00:00:00"/>
        <d v="2024-11-28T00:00:00"/>
        <d v="2025-01-21T00:00:00"/>
        <d v="2025-02-27T00:00:00"/>
        <d v="2024-04-10T00:00:00"/>
        <d v="2024-05-04T00:00:00"/>
        <d v="2024-10-16T00:00:00"/>
        <d v="2024-07-31T00:00:00"/>
        <d v="2024-09-23T00:00:00"/>
        <d v="2024-06-05T00:00:00"/>
        <d v="2024-06-08T00:00:00"/>
        <d v="2024-07-05T00:00:00"/>
        <d v="2024-07-21T00:00:00"/>
        <d v="2024-09-24T00:00:00"/>
        <d v="2025-03-17T00:00:00"/>
        <d v="2024-09-14T00:00:00"/>
        <d v="2024-12-24T00:00:00"/>
        <d v="2024-12-30T00:00:00"/>
        <d v="2024-06-04T00:00:00"/>
        <d v="2024-09-11T00:00:00"/>
        <d v="2025-03-22T00:00:00"/>
        <d v="2024-08-08T00:00:00"/>
        <d v="2024-10-17T00:00:00"/>
        <d v="2025-01-20T00:00:00"/>
        <d v="2025-02-07T00:00:00"/>
        <d v="2024-05-15T00:00:00"/>
        <d v="2024-10-10T00:00:00"/>
        <d v="2024-11-09T00:00:00"/>
        <d v="2024-11-16T00:00:00"/>
        <d v="2024-05-02T00:00:00"/>
        <d v="2024-08-19T00:00:00"/>
        <d v="2024-12-20T00:00:00"/>
        <d v="2024-12-21T00:00:00"/>
        <d v="2025-02-20T00:00:00"/>
        <d v="2024-05-14T00:00:00"/>
        <d v="2024-11-15T00:00:00"/>
        <d v="2025-02-17T00:00:00"/>
        <d v="2025-03-05T00:00:00"/>
        <d v="2025-03-08T00:00:00"/>
        <d v="2025-04-02T00:00:00"/>
        <d v="2024-04-27T00:00:00"/>
        <d v="2024-06-28T00:00:00"/>
        <d v="2024-07-09T00:00:00"/>
        <d v="2025-03-11T00:00:00"/>
        <d v="2025-03-25T00:00:00"/>
        <d v="2024-04-15T00:00:00"/>
        <d v="2024-05-08T00:00:00"/>
        <d v="2024-06-21T00:00:00"/>
        <d v="2024-06-27T00:00:00"/>
        <d v="2024-07-30T00:00:00"/>
        <d v="2024-08-22T00:00:00"/>
        <d v="2025-01-27T00:00:00"/>
        <d v="2025-02-02T00:00:00"/>
      </sharedItems>
    </cacheField>
    <cacheField name="Profit" numFmtId="0">
      <sharedItems containsSemiMixedTypes="0" containsString="0" containsNumber="1" minValue="64.63" maxValue="769.46"/>
    </cacheField>
    <cacheField name="Time" numFmtId="22">
      <sharedItems containsSemiMixedTypes="0" containsNonDate="0" containsDate="1" containsString="0" minDate="2026-05-02T22:01:09" maxDate="2026-05-02T22:01:09"/>
    </cacheField>
  </cacheFields>
  <extLst>
    <ext xmlns:x14="http://schemas.microsoft.com/office/spreadsheetml/2009/9/main" uri="{725AE2AE-9491-48be-B2B4-4EB974FC3084}">
      <x14:pivotCacheDefinition pivotCacheId="133337501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46.491460532408" createdVersion="8" refreshedVersion="8" minRefreshableVersion="3" recordCount="200" xr:uid="{44ACA64D-4C9D-4A72-B2D5-62D389CFF253}">
  <cacheSource type="worksheet">
    <worksheetSource name="Table1"/>
  </cacheSource>
  <cacheFields count="10">
    <cacheField name="Customer_ID" numFmtId="0">
      <sharedItems/>
    </cacheField>
    <cacheField name="Customer_Name" numFmtId="0">
      <sharedItems/>
    </cacheField>
    <cacheField name="Region" numFmtId="0">
      <sharedItems count="5">
        <s v="West"/>
        <s v="North"/>
        <s v="Central"/>
        <s v="South"/>
        <s v="East"/>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6T00:00:00"/>
        <d v="2024-04-29T00:00:00"/>
        <d v="2024-05-16T00:00:00"/>
        <d v="2024-11-12T00:00:00"/>
        <d v="2024-11-29T00:00:00"/>
        <d v="2024-12-14T00:00:00"/>
        <d v="2024-12-25T00:00:00"/>
        <d v="2024-06-23T00:00:00"/>
        <d v="2024-07-15T00:00:00"/>
        <d v="2024-11-19T00:00:00"/>
        <d v="2024-12-12T00:00:00"/>
        <d v="2025-02-05T00:00:00"/>
        <d v="2025-02-24T00:00:00"/>
        <d v="2024-06-30T00:00:00"/>
        <d v="2024-07-08T00:00:00"/>
        <d v="2024-07-14T00:00:00"/>
        <d v="2024-09-09T00:00:00"/>
        <d v="2024-09-18T00:00:00"/>
        <d v="2024-09-29T00:00:00"/>
        <d v="2024-10-28T00:00:00"/>
        <d v="2025-03-10T00:00:00"/>
        <d v="2024-08-18T00:00:00"/>
        <d v="2024-09-12T00:00:00"/>
        <d v="2024-11-17T00:00:00"/>
        <d v="2025-02-10T00:00:00"/>
        <d v="2025-02-15T00:00:00"/>
        <d v="2025-03-02T00:00:00"/>
        <d v="2024-04-14T00:00:00"/>
        <d v="2024-04-28T00:00:00"/>
        <d v="2024-06-02T00:00:00"/>
        <d v="2024-06-25T00:00:00"/>
        <d v="2024-08-15T00:00:00"/>
        <d v="2024-09-01T00:00:00"/>
        <d v="2024-04-30T00:00:00"/>
        <d v="2024-10-19T00:00:00"/>
        <d v="2024-04-24T00:00:00"/>
        <d v="2024-05-03T00:00:00"/>
        <d v="2024-05-10T00:00:00"/>
        <d v="2024-06-18T00:00:00"/>
        <d v="2024-08-30T00:00:00"/>
        <d v="2024-09-16T00:00:00"/>
        <d v="2024-11-30T00:00:00"/>
        <d v="2025-03-18T00:00:00"/>
        <d v="2025-03-27T00:00:00"/>
        <d v="2024-05-22T00:00:00"/>
        <d v="2024-06-14T00:00:00"/>
        <d v="2024-07-29T00:00:00"/>
        <d v="2024-10-02T00:00:00"/>
        <d v="2024-10-12T00:00:00"/>
        <d v="2024-11-03T00:00:00"/>
        <d v="2025-01-17T00:00:00"/>
        <d v="2025-03-29T00:00:00"/>
        <d v="2024-04-19T00:00:00"/>
        <d v="2024-10-20T00:00:00"/>
        <d v="2025-02-21T00:00:00"/>
        <d v="2025-03-20T00:00:00"/>
        <d v="2025-03-26T00:00:00"/>
        <d v="2024-05-06T00:00:00"/>
        <d v="2024-07-06T00:00:00"/>
        <d v="2025-01-06T00:00:00"/>
        <d v="2025-04-05T00:00:00"/>
        <d v="2024-06-07T00:00:00"/>
        <d v="2024-11-20T00:00:00"/>
        <d v="2025-01-01T00:00:00"/>
        <d v="2025-01-02T00:00:00"/>
        <d v="2024-04-11T00:00:00"/>
        <d v="2024-05-17T00:00:00"/>
        <d v="2024-08-05T00:00:00"/>
        <d v="2024-08-09T00:00:00"/>
        <d v="2024-10-05T00:00:00"/>
        <d v="2024-10-30T00:00:00"/>
        <d v="2025-02-19T00:00:00"/>
        <d v="2024-09-17T00:00:00"/>
        <d v="2024-11-01T00:00:00"/>
        <d v="2025-01-10T00:00:00"/>
        <d v="2025-02-25T00:00:00"/>
        <d v="2024-04-20T00:00:00"/>
        <d v="2024-04-22T00:00:00"/>
        <d v="2024-11-26T00:00:00"/>
        <d v="2025-03-09T00:00:00"/>
        <d v="2025-03-30T00:00:00"/>
        <d v="2024-06-20T00:00:00"/>
        <d v="2024-10-15T00:00:00"/>
        <d v="2024-12-04T00:00:00"/>
        <d v="2024-12-05T00:00:00"/>
        <d v="2025-01-12T00:00:00"/>
        <d v="2025-01-13T00:00:00"/>
        <d v="2025-01-16T00:00:00"/>
        <d v="2025-02-04T00:00:00"/>
        <d v="2024-05-23T00:00:00"/>
        <d v="2024-09-30T00:00:00"/>
        <d v="2025-01-03T00:00:00"/>
        <d v="2025-04-07T00:00:00"/>
        <d v="2024-06-06T00:00:00"/>
        <d v="2025-03-01T00:00:00"/>
        <d v="2024-09-22T00:00:00"/>
        <d v="2024-11-28T00:00:00"/>
        <d v="2025-01-21T00:00:00"/>
        <d v="2025-02-27T00:00:00"/>
        <d v="2024-04-10T00:00:00"/>
        <d v="2024-05-04T00:00:00"/>
        <d v="2024-10-16T00:00:00"/>
        <d v="2024-07-31T00:00:00"/>
        <d v="2024-09-23T00:00:00"/>
        <d v="2024-06-05T00:00:00"/>
        <d v="2024-06-08T00:00:00"/>
        <d v="2024-07-05T00:00:00"/>
        <d v="2024-07-21T00:00:00"/>
        <d v="2024-09-24T00:00:00"/>
        <d v="2025-03-17T00:00:00"/>
        <d v="2024-09-14T00:00:00"/>
        <d v="2024-12-24T00:00:00"/>
        <d v="2024-12-30T00:00:00"/>
        <d v="2024-06-04T00:00:00"/>
        <d v="2024-09-11T00:00:00"/>
        <d v="2025-03-22T00:00:00"/>
        <d v="2024-08-08T00:00:00"/>
        <d v="2024-10-17T00:00:00"/>
        <d v="2025-01-20T00:00:00"/>
        <d v="2025-02-07T00:00:00"/>
        <d v="2024-05-15T00:00:00"/>
        <d v="2024-10-10T00:00:00"/>
        <d v="2024-11-09T00:00:00"/>
        <d v="2024-11-16T00:00:00"/>
        <d v="2024-05-02T00:00:00"/>
        <d v="2024-08-19T00:00:00"/>
        <d v="2024-12-20T00:00:00"/>
        <d v="2024-12-21T00:00:00"/>
        <d v="2025-02-20T00:00:00"/>
        <d v="2024-05-14T00:00:00"/>
        <d v="2024-11-15T00:00:00"/>
        <d v="2025-02-17T00:00:00"/>
        <d v="2025-03-05T00:00:00"/>
        <d v="2025-03-08T00:00:00"/>
        <d v="2025-04-02T00:00:00"/>
        <d v="2024-04-27T00:00:00"/>
        <d v="2024-06-28T00:00:00"/>
        <d v="2024-07-09T00:00:00"/>
        <d v="2025-03-11T00:00:00"/>
        <d v="2025-03-25T00:00:00"/>
        <d v="2024-04-15T00:00:00"/>
        <d v="2024-05-08T00:00:00"/>
        <d v="2024-06-21T00:00:00"/>
        <d v="2024-06-27T00:00:00"/>
        <d v="2024-07-30T00:00:00"/>
        <d v="2024-08-22T00:00:00"/>
        <d v="2025-01-27T00:00:00"/>
        <d v="2025-02-02T00:00:00"/>
      </sharedItems>
    </cacheField>
    <cacheField name="Profit" numFmtId="0">
      <sharedItems containsSemiMixedTypes="0" containsString="0" containsNumber="1" minValue="64.63" maxValue="769.46"/>
    </cacheField>
    <cacheField name="Time" numFmtId="22">
      <sharedItems containsSemiMixedTypes="0" containsNonDate="0" containsDate="1" containsString="0" minDate="2026-05-04T11:44:24" maxDate="2026-05-04T11:44:24"/>
    </cacheField>
  </cacheFields>
  <extLst>
    <ext xmlns:x14="http://schemas.microsoft.com/office/spreadsheetml/2009/9/main" uri="{725AE2AE-9491-48be-B2B4-4EB974FC3084}">
      <x14:pivotCacheDefinition pivotCacheId="1908646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01"/>
    <s v="Linda Wilson"/>
    <x v="0"/>
    <x v="0"/>
    <x v="0"/>
    <n v="12"/>
    <n v="0.05"/>
    <x v="0"/>
    <n v="312.91000000000003"/>
  </r>
  <r>
    <s v="CUST001"/>
    <s v="Lisa Thomas"/>
    <x v="0"/>
    <x v="1"/>
    <x v="1"/>
    <n v="4"/>
    <n v="0.2"/>
    <x v="1"/>
    <n v="203.74"/>
  </r>
  <r>
    <s v="CUST001"/>
    <s v="Mary Jackson"/>
    <x v="0"/>
    <x v="2"/>
    <x v="2"/>
    <n v="5"/>
    <n v="0.15"/>
    <x v="2"/>
    <n v="253.98"/>
  </r>
  <r>
    <s v="CUST001"/>
    <s v="Lisa Thomas"/>
    <x v="1"/>
    <x v="2"/>
    <x v="3"/>
    <n v="3"/>
    <n v="0.05"/>
    <x v="3"/>
    <n v="358.41"/>
  </r>
  <r>
    <s v="CUST001"/>
    <s v="Sarah Anderson"/>
    <x v="0"/>
    <x v="0"/>
    <x v="4"/>
    <n v="19"/>
    <n v="0.2"/>
    <x v="4"/>
    <n v="178.91"/>
  </r>
  <r>
    <s v="CUST001"/>
    <s v="Michael Anderson"/>
    <x v="2"/>
    <x v="2"/>
    <x v="5"/>
    <n v="16"/>
    <n v="0.15"/>
    <x v="5"/>
    <n v="426.16"/>
  </r>
  <r>
    <s v="CUST001"/>
    <s v="David Anderson"/>
    <x v="1"/>
    <x v="3"/>
    <x v="6"/>
    <n v="13"/>
    <n v="0.2"/>
    <x v="6"/>
    <n v="134.66"/>
  </r>
  <r>
    <s v="CUST002"/>
    <s v="Lisa Davis"/>
    <x v="0"/>
    <x v="1"/>
    <x v="7"/>
    <n v="18"/>
    <n v="0.1"/>
    <x v="7"/>
    <n v="339.44"/>
  </r>
  <r>
    <s v="CUST002"/>
    <s v="Mary Davis"/>
    <x v="3"/>
    <x v="1"/>
    <x v="8"/>
    <n v="12"/>
    <n v="0.05"/>
    <x v="8"/>
    <n v="333.05"/>
  </r>
  <r>
    <s v="CUST002"/>
    <s v="Linda Brown"/>
    <x v="4"/>
    <x v="0"/>
    <x v="9"/>
    <n v="15"/>
    <n v="0"/>
    <x v="9"/>
    <n v="352.65"/>
  </r>
  <r>
    <s v="CUST002"/>
    <s v="Emma Wilson"/>
    <x v="3"/>
    <x v="2"/>
    <x v="10"/>
    <n v="19"/>
    <n v="0.05"/>
    <x v="10"/>
    <n v="268"/>
  </r>
  <r>
    <s v="CUST002"/>
    <s v="Lisa Davis"/>
    <x v="0"/>
    <x v="4"/>
    <x v="11"/>
    <n v="7"/>
    <n v="0.1"/>
    <x v="11"/>
    <n v="335.04"/>
  </r>
  <r>
    <s v="CUST002"/>
    <s v="Mary Jackson"/>
    <x v="2"/>
    <x v="4"/>
    <x v="12"/>
    <n v="12"/>
    <n v="0.2"/>
    <x v="12"/>
    <n v="582.55999999999995"/>
  </r>
  <r>
    <s v="CUST003"/>
    <s v="Emma Davis"/>
    <x v="1"/>
    <x v="1"/>
    <x v="13"/>
    <n v="2"/>
    <n v="0.1"/>
    <x v="13"/>
    <n v="449.58"/>
  </r>
  <r>
    <s v="CUST003"/>
    <s v="James Davis"/>
    <x v="0"/>
    <x v="0"/>
    <x v="14"/>
    <n v="17"/>
    <n v="0.2"/>
    <x v="14"/>
    <n v="201.11"/>
  </r>
  <r>
    <s v="CUST003"/>
    <s v="James Wilson"/>
    <x v="1"/>
    <x v="2"/>
    <x v="15"/>
    <n v="15"/>
    <n v="0.15"/>
    <x v="15"/>
    <n v="307.82"/>
  </r>
  <r>
    <s v="CUST003"/>
    <s v="James Davis"/>
    <x v="3"/>
    <x v="0"/>
    <x v="16"/>
    <n v="17"/>
    <n v="0"/>
    <x v="16"/>
    <n v="333.97"/>
  </r>
  <r>
    <s v="CUST003"/>
    <s v="James Wilson"/>
    <x v="0"/>
    <x v="0"/>
    <x v="17"/>
    <n v="19"/>
    <n v="0.2"/>
    <x v="17"/>
    <n v="231.79"/>
  </r>
  <r>
    <s v="CUST003"/>
    <s v="James Wilson"/>
    <x v="2"/>
    <x v="3"/>
    <x v="18"/>
    <n v="12"/>
    <n v="0"/>
    <x v="18"/>
    <n v="451.1"/>
  </r>
  <r>
    <s v="CUST003"/>
    <s v="Linda Moore"/>
    <x v="1"/>
    <x v="3"/>
    <x v="19"/>
    <n v="1"/>
    <n v="0.2"/>
    <x v="19"/>
    <n v="264.44"/>
  </r>
  <r>
    <s v="CUST003"/>
    <s v="Sarah Anderson"/>
    <x v="3"/>
    <x v="1"/>
    <x v="20"/>
    <n v="15"/>
    <n v="0.2"/>
    <x v="12"/>
    <n v="225.37"/>
  </r>
  <r>
    <s v="CUST003"/>
    <s v="Emma Davis"/>
    <x v="4"/>
    <x v="4"/>
    <x v="21"/>
    <n v="18"/>
    <n v="0.05"/>
    <x v="20"/>
    <n v="187.57"/>
  </r>
  <r>
    <s v="CUST004"/>
    <s v="Lisa Thomas"/>
    <x v="1"/>
    <x v="2"/>
    <x v="22"/>
    <n v="7"/>
    <n v="0.05"/>
    <x v="21"/>
    <n v="172.26"/>
  </r>
  <r>
    <s v="CUST004"/>
    <s v="Sarah Davis"/>
    <x v="0"/>
    <x v="4"/>
    <x v="23"/>
    <n v="19"/>
    <n v="0"/>
    <x v="22"/>
    <n v="649.79"/>
  </r>
  <r>
    <s v="CUST004"/>
    <s v="James Taylor"/>
    <x v="2"/>
    <x v="3"/>
    <x v="24"/>
    <n v="18"/>
    <n v="0.2"/>
    <x v="23"/>
    <n v="511.14"/>
  </r>
  <r>
    <s v="CUST004"/>
    <s v="Mary Davis"/>
    <x v="1"/>
    <x v="3"/>
    <x v="25"/>
    <n v="6"/>
    <n v="0.15"/>
    <x v="6"/>
    <n v="675.5"/>
  </r>
  <r>
    <s v="CUST004"/>
    <s v="James Davis"/>
    <x v="4"/>
    <x v="4"/>
    <x v="26"/>
    <n v="6"/>
    <n v="0.1"/>
    <x v="24"/>
    <n v="531.05999999999995"/>
  </r>
  <r>
    <s v="CUST004"/>
    <s v="Mary Davis"/>
    <x v="3"/>
    <x v="4"/>
    <x v="27"/>
    <n v="19"/>
    <n v="0.1"/>
    <x v="25"/>
    <n v="232.19"/>
  </r>
  <r>
    <s v="CUST004"/>
    <s v="Linda Wilson"/>
    <x v="4"/>
    <x v="1"/>
    <x v="28"/>
    <n v="6"/>
    <n v="0"/>
    <x v="26"/>
    <n v="439.88"/>
  </r>
  <r>
    <s v="CUST005"/>
    <s v="Robert Anderson"/>
    <x v="3"/>
    <x v="0"/>
    <x v="29"/>
    <n v="4"/>
    <n v="0.15"/>
    <x v="27"/>
    <n v="161.69999999999999"/>
  </r>
  <r>
    <s v="CUST005"/>
    <s v="Sarah Anderson"/>
    <x v="3"/>
    <x v="0"/>
    <x v="30"/>
    <n v="14"/>
    <n v="0.2"/>
    <x v="28"/>
    <n v="300.58999999999997"/>
  </r>
  <r>
    <s v="CUST005"/>
    <s v="David Smith"/>
    <x v="3"/>
    <x v="1"/>
    <x v="31"/>
    <n v="15"/>
    <n v="0.1"/>
    <x v="29"/>
    <n v="414.44"/>
  </r>
  <r>
    <s v="CUST005"/>
    <s v="Robert Anderson"/>
    <x v="3"/>
    <x v="2"/>
    <x v="32"/>
    <n v="10"/>
    <n v="0.2"/>
    <x v="30"/>
    <n v="257.33"/>
  </r>
  <r>
    <s v="CUST005"/>
    <s v="Linda Taylor"/>
    <x v="2"/>
    <x v="2"/>
    <x v="33"/>
    <n v="3"/>
    <n v="0"/>
    <x v="31"/>
    <n v="441.47"/>
  </r>
  <r>
    <s v="CUST005"/>
    <s v="Lisa Davis"/>
    <x v="2"/>
    <x v="1"/>
    <x v="34"/>
    <n v="7"/>
    <n v="0.05"/>
    <x v="32"/>
    <n v="406.86"/>
  </r>
  <r>
    <s v="CUST006"/>
    <s v="Mary Jackson"/>
    <x v="0"/>
    <x v="1"/>
    <x v="35"/>
    <n v="13"/>
    <n v="0.2"/>
    <x v="33"/>
    <n v="481.96"/>
  </r>
  <r>
    <s v="CUST006"/>
    <s v="David Anderson"/>
    <x v="0"/>
    <x v="2"/>
    <x v="36"/>
    <n v="1"/>
    <n v="0.15"/>
    <x v="34"/>
    <n v="355.1"/>
  </r>
  <r>
    <s v="CUST007"/>
    <s v="Michael Anderson"/>
    <x v="1"/>
    <x v="2"/>
    <x v="37"/>
    <n v="8"/>
    <n v="0.1"/>
    <x v="0"/>
    <n v="304.18"/>
  </r>
  <r>
    <s v="CUST007"/>
    <s v="Michael Anderson"/>
    <x v="2"/>
    <x v="1"/>
    <x v="38"/>
    <n v="14"/>
    <n v="0.05"/>
    <x v="35"/>
    <n v="452.8"/>
  </r>
  <r>
    <s v="CUST007"/>
    <s v="Lisa Davis"/>
    <x v="3"/>
    <x v="3"/>
    <x v="39"/>
    <n v="11"/>
    <n v="0"/>
    <x v="36"/>
    <n v="476.65"/>
  </r>
  <r>
    <s v="CUST007"/>
    <s v="Robert Anderson"/>
    <x v="2"/>
    <x v="1"/>
    <x v="40"/>
    <n v="2"/>
    <n v="0.05"/>
    <x v="37"/>
    <n v="356.85"/>
  </r>
  <r>
    <s v="CUST007"/>
    <s v="Linda Jackson"/>
    <x v="3"/>
    <x v="0"/>
    <x v="41"/>
    <n v="6"/>
    <n v="0.05"/>
    <x v="38"/>
    <n v="242.6"/>
  </r>
  <r>
    <s v="CUST007"/>
    <s v="David Brown"/>
    <x v="1"/>
    <x v="1"/>
    <x v="42"/>
    <n v="19"/>
    <n v="0"/>
    <x v="39"/>
    <n v="271.88"/>
  </r>
  <r>
    <s v="CUST007"/>
    <s v="Emma Taylor"/>
    <x v="0"/>
    <x v="2"/>
    <x v="43"/>
    <n v="4"/>
    <n v="0.1"/>
    <x v="40"/>
    <n v="346.99"/>
  </r>
  <r>
    <s v="CUST007"/>
    <s v="Emma Davis"/>
    <x v="1"/>
    <x v="4"/>
    <x v="44"/>
    <n v="3"/>
    <n v="0.05"/>
    <x v="41"/>
    <n v="356.5"/>
  </r>
  <r>
    <s v="CUST007"/>
    <s v="David Brown"/>
    <x v="0"/>
    <x v="3"/>
    <x v="45"/>
    <n v="18"/>
    <n v="0"/>
    <x v="42"/>
    <n v="746.74"/>
  </r>
  <r>
    <s v="CUST007"/>
    <s v="James Davis"/>
    <x v="3"/>
    <x v="3"/>
    <x v="46"/>
    <n v="9"/>
    <n v="0"/>
    <x v="43"/>
    <n v="381.07"/>
  </r>
  <r>
    <s v="CUST008"/>
    <s v="Robert Anderson"/>
    <x v="3"/>
    <x v="1"/>
    <x v="47"/>
    <n v="10"/>
    <n v="0.15"/>
    <x v="1"/>
    <n v="298.38"/>
  </r>
  <r>
    <s v="CUST008"/>
    <s v="Mary Wilson"/>
    <x v="2"/>
    <x v="2"/>
    <x v="48"/>
    <n v="13"/>
    <n v="0.15"/>
    <x v="44"/>
    <n v="229.99"/>
  </r>
  <r>
    <s v="CUST008"/>
    <s v="John Brown"/>
    <x v="3"/>
    <x v="0"/>
    <x v="49"/>
    <n v="6"/>
    <n v="0.1"/>
    <x v="45"/>
    <n v="174.48"/>
  </r>
  <r>
    <s v="CUST008"/>
    <s v="James Davis"/>
    <x v="2"/>
    <x v="4"/>
    <x v="50"/>
    <n v="1"/>
    <n v="0.05"/>
    <x v="46"/>
    <n v="344.06"/>
  </r>
  <r>
    <s v="CUST008"/>
    <s v="David Davis"/>
    <x v="2"/>
    <x v="0"/>
    <x v="51"/>
    <n v="13"/>
    <n v="0.2"/>
    <x v="47"/>
    <n v="202.82"/>
  </r>
  <r>
    <s v="CUST008"/>
    <s v="James Wilson"/>
    <x v="4"/>
    <x v="1"/>
    <x v="52"/>
    <n v="19"/>
    <n v="0.15"/>
    <x v="48"/>
    <n v="367.59"/>
  </r>
  <r>
    <s v="CUST008"/>
    <s v="James Wilson"/>
    <x v="4"/>
    <x v="4"/>
    <x v="53"/>
    <n v="14"/>
    <n v="0.05"/>
    <x v="49"/>
    <n v="433.58"/>
  </r>
  <r>
    <s v="CUST008"/>
    <s v="Lisa Thomas"/>
    <x v="2"/>
    <x v="3"/>
    <x v="54"/>
    <n v="2"/>
    <n v="0.1"/>
    <x v="50"/>
    <n v="484.35"/>
  </r>
  <r>
    <s v="CUST008"/>
    <s v="Mary Davis"/>
    <x v="2"/>
    <x v="4"/>
    <x v="55"/>
    <n v="7"/>
    <n v="0"/>
    <x v="50"/>
    <n v="562.82000000000005"/>
  </r>
  <r>
    <s v="CUST008"/>
    <s v="Emma Wilson"/>
    <x v="4"/>
    <x v="2"/>
    <x v="56"/>
    <n v="17"/>
    <n v="0.1"/>
    <x v="51"/>
    <n v="344.41"/>
  </r>
  <r>
    <s v="CUST009"/>
    <s v="Linda Jackson"/>
    <x v="2"/>
    <x v="1"/>
    <x v="57"/>
    <n v="11"/>
    <n v="0.05"/>
    <x v="52"/>
    <n v="190.59"/>
  </r>
  <r>
    <s v="CUST009"/>
    <s v="Emma Davis"/>
    <x v="1"/>
    <x v="0"/>
    <x v="58"/>
    <n v="15"/>
    <n v="0.15"/>
    <x v="30"/>
    <n v="173.99"/>
  </r>
  <r>
    <s v="CUST009"/>
    <s v="Emma Davis"/>
    <x v="3"/>
    <x v="0"/>
    <x v="59"/>
    <n v="1"/>
    <n v="0"/>
    <x v="53"/>
    <n v="192.76"/>
  </r>
  <r>
    <s v="CUST009"/>
    <s v="Emma Wilson"/>
    <x v="3"/>
    <x v="2"/>
    <x v="60"/>
    <n v="10"/>
    <n v="0"/>
    <x v="9"/>
    <n v="472.62"/>
  </r>
  <r>
    <s v="CUST009"/>
    <s v="Mary Davis"/>
    <x v="1"/>
    <x v="1"/>
    <x v="61"/>
    <n v="2"/>
    <n v="0.2"/>
    <x v="54"/>
    <n v="380.75"/>
  </r>
  <r>
    <s v="CUST009"/>
    <s v="Linda Taylor"/>
    <x v="3"/>
    <x v="3"/>
    <x v="62"/>
    <n v="9"/>
    <n v="0.1"/>
    <x v="55"/>
    <n v="310.24"/>
  </r>
  <r>
    <s v="CUST009"/>
    <s v="Michael Anderson"/>
    <x v="3"/>
    <x v="2"/>
    <x v="63"/>
    <n v="11"/>
    <n v="0.2"/>
    <x v="56"/>
    <n v="331.59"/>
  </r>
  <r>
    <s v="CUST010"/>
    <s v="David Thomas"/>
    <x v="2"/>
    <x v="3"/>
    <x v="64"/>
    <n v="2"/>
    <n v="0.05"/>
    <x v="52"/>
    <n v="350.22"/>
  </r>
  <r>
    <s v="CUST010"/>
    <s v="Linda Brown"/>
    <x v="3"/>
    <x v="0"/>
    <x v="65"/>
    <n v="18"/>
    <n v="0"/>
    <x v="57"/>
    <n v="293.27999999999997"/>
  </r>
  <r>
    <s v="CUST010"/>
    <s v="David Brown"/>
    <x v="2"/>
    <x v="4"/>
    <x v="66"/>
    <n v="9"/>
    <n v="0"/>
    <x v="58"/>
    <n v="220.05"/>
  </r>
  <r>
    <s v="CUST010"/>
    <s v="Linda Wilson"/>
    <x v="0"/>
    <x v="2"/>
    <x v="67"/>
    <n v="18"/>
    <n v="0.05"/>
    <x v="59"/>
    <n v="286.68"/>
  </r>
  <r>
    <s v="CUST010"/>
    <s v="David Thomas"/>
    <x v="4"/>
    <x v="1"/>
    <x v="68"/>
    <n v="8"/>
    <n v="0.05"/>
    <x v="60"/>
    <n v="379.09"/>
  </r>
  <r>
    <s v="CUST011"/>
    <s v="Mary Davis"/>
    <x v="1"/>
    <x v="4"/>
    <x v="69"/>
    <n v="12"/>
    <n v="0"/>
    <x v="61"/>
    <n v="450.71"/>
  </r>
  <r>
    <s v="CUST011"/>
    <s v="Emma Wilson"/>
    <x v="4"/>
    <x v="1"/>
    <x v="70"/>
    <n v="5"/>
    <n v="0.05"/>
    <x v="62"/>
    <n v="461.12"/>
  </r>
  <r>
    <s v="CUST011"/>
    <s v="Linda Moore"/>
    <x v="2"/>
    <x v="3"/>
    <x v="71"/>
    <n v="11"/>
    <n v="0.05"/>
    <x v="63"/>
    <n v="314.74"/>
  </r>
  <r>
    <s v="CUST011"/>
    <s v="Linda Wilson"/>
    <x v="1"/>
    <x v="1"/>
    <x v="72"/>
    <n v="18"/>
    <n v="0.1"/>
    <x v="64"/>
    <n v="318.47000000000003"/>
  </r>
  <r>
    <s v="CUST012"/>
    <s v="Robert Anderson"/>
    <x v="0"/>
    <x v="3"/>
    <x v="73"/>
    <n v="3"/>
    <n v="0.2"/>
    <x v="65"/>
    <n v="440.51"/>
  </r>
  <r>
    <s v="CUST012"/>
    <s v="Mary Davis"/>
    <x v="2"/>
    <x v="4"/>
    <x v="74"/>
    <n v="8"/>
    <n v="0.1"/>
    <x v="57"/>
    <n v="374.75"/>
  </r>
  <r>
    <s v="CUST012"/>
    <s v="Michael Anderson"/>
    <x v="0"/>
    <x v="1"/>
    <x v="75"/>
    <n v="12"/>
    <n v="0.2"/>
    <x v="66"/>
    <n v="151.16"/>
  </r>
  <r>
    <s v="CUST012"/>
    <s v="Mary Wilson"/>
    <x v="0"/>
    <x v="3"/>
    <x v="76"/>
    <n v="17"/>
    <n v="0"/>
    <x v="13"/>
    <n v="680.18"/>
  </r>
  <r>
    <s v="CUST012"/>
    <s v="David Anderson"/>
    <x v="3"/>
    <x v="1"/>
    <x v="77"/>
    <n v="5"/>
    <n v="0.2"/>
    <x v="67"/>
    <n v="257.42"/>
  </r>
  <r>
    <s v="CUST012"/>
    <s v="Linda Wilson"/>
    <x v="0"/>
    <x v="0"/>
    <x v="78"/>
    <n v="5"/>
    <n v="0.15"/>
    <x v="68"/>
    <n v="258.24"/>
  </r>
  <r>
    <s v="CUST012"/>
    <s v="Lisa Davis"/>
    <x v="1"/>
    <x v="0"/>
    <x v="79"/>
    <n v="17"/>
    <n v="0"/>
    <x v="69"/>
    <n v="231.32"/>
  </r>
  <r>
    <s v="CUST012"/>
    <s v="David Brown"/>
    <x v="0"/>
    <x v="0"/>
    <x v="80"/>
    <n v="15"/>
    <n v="0"/>
    <x v="70"/>
    <n v="172.21"/>
  </r>
  <r>
    <s v="CUST012"/>
    <s v="Lisa Thomas"/>
    <x v="1"/>
    <x v="3"/>
    <x v="81"/>
    <n v="4"/>
    <n v="0"/>
    <x v="71"/>
    <n v="422.92"/>
  </r>
  <r>
    <s v="CUST013"/>
    <s v="Robert Anderson"/>
    <x v="3"/>
    <x v="2"/>
    <x v="82"/>
    <n v="1"/>
    <n v="0.1"/>
    <x v="72"/>
    <n v="229.23"/>
  </r>
  <r>
    <s v="CUST013"/>
    <s v="Linda Wilson"/>
    <x v="2"/>
    <x v="1"/>
    <x v="83"/>
    <n v="4"/>
    <n v="0.05"/>
    <x v="73"/>
    <n v="474.66"/>
  </r>
  <r>
    <s v="CUST013"/>
    <s v="Mary Wilson"/>
    <x v="1"/>
    <x v="3"/>
    <x v="84"/>
    <n v="19"/>
    <n v="0.05"/>
    <x v="74"/>
    <n v="556.30999999999995"/>
  </r>
  <r>
    <s v="CUST013"/>
    <s v="Linda Taylor"/>
    <x v="2"/>
    <x v="1"/>
    <x v="85"/>
    <n v="2"/>
    <n v="0.15"/>
    <x v="75"/>
    <n v="344.91"/>
  </r>
  <r>
    <s v="CUST014"/>
    <s v="Emma Davis"/>
    <x v="0"/>
    <x v="4"/>
    <x v="86"/>
    <n v="6"/>
    <n v="0.05"/>
    <x v="76"/>
    <n v="672.38"/>
  </r>
  <r>
    <s v="CUST014"/>
    <s v="David Thomas"/>
    <x v="2"/>
    <x v="1"/>
    <x v="87"/>
    <n v="14"/>
    <n v="0.15"/>
    <x v="77"/>
    <n v="456.66"/>
  </r>
  <r>
    <s v="CUST014"/>
    <s v="Sarah Davis"/>
    <x v="3"/>
    <x v="1"/>
    <x v="88"/>
    <n v="8"/>
    <n v="0.2"/>
    <x v="48"/>
    <n v="307.72000000000003"/>
  </r>
  <r>
    <s v="CUST014"/>
    <s v="David Anderson"/>
    <x v="3"/>
    <x v="2"/>
    <x v="89"/>
    <n v="8"/>
    <n v="0.1"/>
    <x v="78"/>
    <n v="268.97000000000003"/>
  </r>
  <r>
    <s v="CUST014"/>
    <s v="Emma Davis"/>
    <x v="3"/>
    <x v="1"/>
    <x v="90"/>
    <n v="18"/>
    <n v="0.05"/>
    <x v="79"/>
    <n v="404.39"/>
  </r>
  <r>
    <s v="CUST014"/>
    <s v="Sarah Anderson"/>
    <x v="0"/>
    <x v="3"/>
    <x v="91"/>
    <n v="8"/>
    <n v="0.15"/>
    <x v="80"/>
    <n v="397.06"/>
  </r>
  <r>
    <s v="CUST015"/>
    <s v="Linda Taylor"/>
    <x v="1"/>
    <x v="4"/>
    <x v="92"/>
    <n v="14"/>
    <n v="0.05"/>
    <x v="66"/>
    <n v="513.38"/>
  </r>
  <r>
    <s v="CUST015"/>
    <s v="James Wilson"/>
    <x v="3"/>
    <x v="3"/>
    <x v="93"/>
    <n v="7"/>
    <n v="0.1"/>
    <x v="81"/>
    <n v="551.98"/>
  </r>
  <r>
    <s v="CUST015"/>
    <s v="David Thomas"/>
    <x v="0"/>
    <x v="3"/>
    <x v="94"/>
    <n v="4"/>
    <n v="0.1"/>
    <x v="16"/>
    <n v="526"/>
  </r>
  <r>
    <s v="CUST015"/>
    <s v="James Wilson"/>
    <x v="0"/>
    <x v="3"/>
    <x v="95"/>
    <n v="9"/>
    <n v="0.2"/>
    <x v="82"/>
    <n v="769.46"/>
  </r>
  <r>
    <s v="CUST015"/>
    <s v="David Anderson"/>
    <x v="0"/>
    <x v="2"/>
    <x v="96"/>
    <n v="4"/>
    <n v="0.2"/>
    <x v="83"/>
    <n v="229.65"/>
  </r>
  <r>
    <s v="CUST015"/>
    <s v="Emma Davis"/>
    <x v="2"/>
    <x v="0"/>
    <x v="97"/>
    <n v="8"/>
    <n v="0.05"/>
    <x v="84"/>
    <n v="121.54"/>
  </r>
  <r>
    <s v="CUST015"/>
    <s v="Robert Anderson"/>
    <x v="3"/>
    <x v="2"/>
    <x v="98"/>
    <n v="11"/>
    <n v="0.1"/>
    <x v="85"/>
    <n v="332.19"/>
  </r>
  <r>
    <s v="CUST015"/>
    <s v="James Wilson"/>
    <x v="1"/>
    <x v="0"/>
    <x v="99"/>
    <n v="5"/>
    <n v="0.2"/>
    <x v="86"/>
    <n v="336.24"/>
  </r>
  <r>
    <s v="CUST015"/>
    <s v="David Thomas"/>
    <x v="0"/>
    <x v="3"/>
    <x v="100"/>
    <n v="9"/>
    <n v="0.05"/>
    <x v="87"/>
    <n v="180.39"/>
  </r>
  <r>
    <s v="CUST015"/>
    <s v="Lisa Thomas"/>
    <x v="4"/>
    <x v="1"/>
    <x v="101"/>
    <n v="9"/>
    <n v="0.1"/>
    <x v="88"/>
    <n v="395.31"/>
  </r>
  <r>
    <s v="CUST015"/>
    <s v="Sarah Anderson"/>
    <x v="0"/>
    <x v="4"/>
    <x v="102"/>
    <n v="17"/>
    <n v="0"/>
    <x v="60"/>
    <n v="245.45"/>
  </r>
  <r>
    <s v="CUST016"/>
    <s v="Emma Wilson"/>
    <x v="4"/>
    <x v="1"/>
    <x v="103"/>
    <n v="19"/>
    <n v="0.15"/>
    <x v="89"/>
    <n v="197.35"/>
  </r>
  <r>
    <s v="CUST016"/>
    <s v="Michael Anderson"/>
    <x v="1"/>
    <x v="3"/>
    <x v="104"/>
    <n v="8"/>
    <n v="0.1"/>
    <x v="90"/>
    <n v="445.59"/>
  </r>
  <r>
    <s v="CUST016"/>
    <s v="James Taylor"/>
    <x v="3"/>
    <x v="3"/>
    <x v="105"/>
    <n v="5"/>
    <n v="0.05"/>
    <x v="91"/>
    <n v="413.36"/>
  </r>
  <r>
    <s v="CUST016"/>
    <s v="David Thomas"/>
    <x v="3"/>
    <x v="3"/>
    <x v="106"/>
    <n v="2"/>
    <n v="0.05"/>
    <x v="92"/>
    <n v="440.95"/>
  </r>
  <r>
    <s v="CUST017"/>
    <s v="James Taylor"/>
    <x v="4"/>
    <x v="1"/>
    <x v="107"/>
    <n v="17"/>
    <n v="0"/>
    <x v="27"/>
    <n v="285.33999999999997"/>
  </r>
  <r>
    <s v="CUST017"/>
    <s v="Linda Davis"/>
    <x v="2"/>
    <x v="0"/>
    <x v="108"/>
    <n v="2"/>
    <n v="0"/>
    <x v="93"/>
    <n v="214.18"/>
  </r>
  <r>
    <s v="CUST017"/>
    <s v="Sarah Davis"/>
    <x v="0"/>
    <x v="4"/>
    <x v="109"/>
    <n v="10"/>
    <n v="0.2"/>
    <x v="18"/>
    <n v="297.69"/>
  </r>
  <r>
    <s v="CUST017"/>
    <s v="Mary Davis"/>
    <x v="2"/>
    <x v="3"/>
    <x v="110"/>
    <n v="8"/>
    <n v="0.1"/>
    <x v="94"/>
    <n v="460"/>
  </r>
  <r>
    <s v="CUST018"/>
    <s v="Mary Jackson"/>
    <x v="3"/>
    <x v="1"/>
    <x v="111"/>
    <n v="2"/>
    <n v="0.15"/>
    <x v="95"/>
    <n v="328.54"/>
  </r>
  <r>
    <s v="CUST018"/>
    <s v="Lisa Thomas"/>
    <x v="3"/>
    <x v="0"/>
    <x v="112"/>
    <n v="1"/>
    <n v="0"/>
    <x v="96"/>
    <n v="265.26"/>
  </r>
  <r>
    <s v="CUST018"/>
    <s v="Lisa Davis"/>
    <x v="1"/>
    <x v="1"/>
    <x v="113"/>
    <n v="11"/>
    <n v="0.2"/>
    <x v="97"/>
    <n v="205"/>
  </r>
  <r>
    <s v="CUST018"/>
    <s v="Mary Davis"/>
    <x v="2"/>
    <x v="3"/>
    <x v="114"/>
    <n v="18"/>
    <n v="0.2"/>
    <x v="98"/>
    <n v="330.79"/>
  </r>
  <r>
    <s v="CUST018"/>
    <s v="David Anderson"/>
    <x v="2"/>
    <x v="3"/>
    <x v="115"/>
    <n v="14"/>
    <n v="0.05"/>
    <x v="51"/>
    <n v="692.05"/>
  </r>
  <r>
    <s v="CUST019"/>
    <s v="James Davis"/>
    <x v="0"/>
    <x v="1"/>
    <x v="116"/>
    <n v="4"/>
    <n v="0.2"/>
    <x v="99"/>
    <n v="331.55"/>
  </r>
  <r>
    <s v="CUST019"/>
    <s v="Mary Davis"/>
    <x v="0"/>
    <x v="1"/>
    <x v="117"/>
    <n v="9"/>
    <n v="0"/>
    <x v="100"/>
    <n v="297.27"/>
  </r>
  <r>
    <s v="CUST019"/>
    <s v="David Brown"/>
    <x v="4"/>
    <x v="4"/>
    <x v="118"/>
    <n v="9"/>
    <n v="0.05"/>
    <x v="66"/>
    <n v="359.49"/>
  </r>
  <r>
    <s v="CUST019"/>
    <s v="Linda Jackson"/>
    <x v="2"/>
    <x v="3"/>
    <x v="119"/>
    <n v="7"/>
    <n v="0.15"/>
    <x v="101"/>
    <n v="553.29999999999995"/>
  </r>
  <r>
    <s v="CUST019"/>
    <s v="James Taylor"/>
    <x v="3"/>
    <x v="0"/>
    <x v="120"/>
    <n v="14"/>
    <n v="0"/>
    <x v="23"/>
    <n v="179.51"/>
  </r>
  <r>
    <s v="CUST020"/>
    <s v="David Brown"/>
    <x v="0"/>
    <x v="2"/>
    <x v="121"/>
    <n v="5"/>
    <n v="0.05"/>
    <x v="8"/>
    <n v="455.97"/>
  </r>
  <r>
    <s v="CUST020"/>
    <s v="Linda Moore"/>
    <x v="3"/>
    <x v="4"/>
    <x v="122"/>
    <n v="19"/>
    <n v="0"/>
    <x v="102"/>
    <n v="441.54"/>
  </r>
  <r>
    <s v="CUST020"/>
    <s v="Linda Jackson"/>
    <x v="4"/>
    <x v="2"/>
    <x v="123"/>
    <n v="17"/>
    <n v="0"/>
    <x v="39"/>
    <n v="400.29"/>
  </r>
  <r>
    <s v="CUST020"/>
    <s v="James Taylor"/>
    <x v="3"/>
    <x v="1"/>
    <x v="124"/>
    <n v="6"/>
    <n v="0"/>
    <x v="103"/>
    <n v="366.99"/>
  </r>
  <r>
    <s v="CUST021"/>
    <s v="Sarah Anderson"/>
    <x v="3"/>
    <x v="0"/>
    <x v="125"/>
    <n v="10"/>
    <n v="0.1"/>
    <x v="66"/>
    <n v="217.78"/>
  </r>
  <r>
    <s v="CUST021"/>
    <s v="James Wilson"/>
    <x v="2"/>
    <x v="1"/>
    <x v="126"/>
    <n v="19"/>
    <n v="0.1"/>
    <x v="104"/>
    <n v="302.70999999999998"/>
  </r>
  <r>
    <s v="CUST021"/>
    <s v="Michael Anderson"/>
    <x v="4"/>
    <x v="2"/>
    <x v="127"/>
    <n v="19"/>
    <n v="0.2"/>
    <x v="105"/>
    <n v="332.32"/>
  </r>
  <r>
    <s v="CUST021"/>
    <s v="Mary Davis"/>
    <x v="4"/>
    <x v="1"/>
    <x v="128"/>
    <n v="8"/>
    <n v="0.1"/>
    <x v="106"/>
    <n v="497.99"/>
  </r>
  <r>
    <s v="CUST021"/>
    <s v="Mary Jackson"/>
    <x v="1"/>
    <x v="0"/>
    <x v="129"/>
    <n v="11"/>
    <n v="0.05"/>
    <x v="107"/>
    <n v="242.31"/>
  </r>
  <r>
    <s v="CUST021"/>
    <s v="James Wilson"/>
    <x v="1"/>
    <x v="3"/>
    <x v="130"/>
    <n v="11"/>
    <n v="0.1"/>
    <x v="108"/>
    <n v="542.62"/>
  </r>
  <r>
    <s v="CUST021"/>
    <s v="Emma Davis"/>
    <x v="2"/>
    <x v="1"/>
    <x v="131"/>
    <n v="8"/>
    <n v="0.05"/>
    <x v="78"/>
    <n v="437.11"/>
  </r>
  <r>
    <s v="CUST021"/>
    <s v="David Brown"/>
    <x v="0"/>
    <x v="2"/>
    <x v="132"/>
    <n v="14"/>
    <n v="0.2"/>
    <x v="109"/>
    <n v="275.77999999999997"/>
  </r>
  <r>
    <s v="CUST022"/>
    <s v="Robert Anderson"/>
    <x v="1"/>
    <x v="0"/>
    <x v="133"/>
    <n v="14"/>
    <n v="0.15"/>
    <x v="100"/>
    <n v="82.57"/>
  </r>
  <r>
    <s v="CUST022"/>
    <s v="David Davis"/>
    <x v="2"/>
    <x v="1"/>
    <x v="134"/>
    <n v="18"/>
    <n v="0.05"/>
    <x v="2"/>
    <n v="388.82"/>
  </r>
  <r>
    <s v="CUST022"/>
    <s v="Linda Brown"/>
    <x v="3"/>
    <x v="1"/>
    <x v="135"/>
    <n v="16"/>
    <n v="0.05"/>
    <x v="110"/>
    <n v="480.51"/>
  </r>
  <r>
    <s v="CUST022"/>
    <s v="Lisa Thomas"/>
    <x v="2"/>
    <x v="4"/>
    <x v="136"/>
    <n v="16"/>
    <n v="0.05"/>
    <x v="111"/>
    <n v="165.97"/>
  </r>
  <r>
    <s v="CUST022"/>
    <s v="James Wilson"/>
    <x v="0"/>
    <x v="1"/>
    <x v="137"/>
    <n v="14"/>
    <n v="0.1"/>
    <x v="112"/>
    <n v="487.36"/>
  </r>
  <r>
    <s v="CUST023"/>
    <s v="Robert Anderson"/>
    <x v="0"/>
    <x v="2"/>
    <x v="138"/>
    <n v="7"/>
    <n v="0.05"/>
    <x v="35"/>
    <n v="273.41000000000003"/>
  </r>
  <r>
    <s v="CUST023"/>
    <s v="Mary Davis"/>
    <x v="2"/>
    <x v="0"/>
    <x v="139"/>
    <n v="6"/>
    <n v="0"/>
    <x v="100"/>
    <n v="176.59"/>
  </r>
  <r>
    <s v="CUST023"/>
    <s v="David Davis"/>
    <x v="4"/>
    <x v="4"/>
    <x v="140"/>
    <n v="11"/>
    <n v="0.15"/>
    <x v="113"/>
    <n v="212.83"/>
  </r>
  <r>
    <s v="CUST023"/>
    <s v="David Brown"/>
    <x v="4"/>
    <x v="2"/>
    <x v="141"/>
    <n v="9"/>
    <n v="0"/>
    <x v="114"/>
    <n v="305.8"/>
  </r>
  <r>
    <s v="CUST023"/>
    <s v="James Wilson"/>
    <x v="4"/>
    <x v="4"/>
    <x v="142"/>
    <n v="11"/>
    <n v="0.15"/>
    <x v="110"/>
    <n v="441.53"/>
  </r>
  <r>
    <s v="CUST023"/>
    <s v="James Taylor"/>
    <x v="3"/>
    <x v="3"/>
    <x v="143"/>
    <n v="6"/>
    <n v="0.2"/>
    <x v="50"/>
    <n v="447.34"/>
  </r>
  <r>
    <s v="CUST023"/>
    <s v="Mary Wilson"/>
    <x v="3"/>
    <x v="3"/>
    <x v="144"/>
    <n v="1"/>
    <n v="0"/>
    <x v="115"/>
    <n v="341.12"/>
  </r>
  <r>
    <s v="CUST024"/>
    <s v="David Brown"/>
    <x v="4"/>
    <x v="0"/>
    <x v="145"/>
    <n v="10"/>
    <n v="0.15"/>
    <x v="67"/>
    <n v="114.7"/>
  </r>
  <r>
    <s v="CUST024"/>
    <s v="Emma Davis"/>
    <x v="0"/>
    <x v="0"/>
    <x v="146"/>
    <n v="13"/>
    <n v="0.2"/>
    <x v="116"/>
    <n v="305.32"/>
  </r>
  <r>
    <s v="CUST024"/>
    <s v="Emma Taylor"/>
    <x v="4"/>
    <x v="1"/>
    <x v="147"/>
    <n v="16"/>
    <n v="0.1"/>
    <x v="117"/>
    <n v="352.86"/>
  </r>
  <r>
    <s v="CUST024"/>
    <s v="James Wilson"/>
    <x v="1"/>
    <x v="0"/>
    <x v="148"/>
    <n v="1"/>
    <n v="0.15"/>
    <x v="23"/>
    <n v="150.18"/>
  </r>
  <r>
    <s v="CUST024"/>
    <s v="Linda Taylor"/>
    <x v="1"/>
    <x v="3"/>
    <x v="149"/>
    <n v="12"/>
    <n v="0.2"/>
    <x v="118"/>
    <n v="649.04999999999995"/>
  </r>
  <r>
    <s v="CUST024"/>
    <s v="Linda Wilson"/>
    <x v="2"/>
    <x v="3"/>
    <x v="150"/>
    <n v="16"/>
    <n v="0.1"/>
    <x v="119"/>
    <n v="333.85"/>
  </r>
  <r>
    <s v="CUST024"/>
    <s v="David Thomas"/>
    <x v="2"/>
    <x v="3"/>
    <x v="151"/>
    <n v="8"/>
    <n v="0.2"/>
    <x v="80"/>
    <n v="586.14"/>
  </r>
  <r>
    <s v="CUST025"/>
    <s v="David Brown"/>
    <x v="1"/>
    <x v="0"/>
    <x v="152"/>
    <n v="5"/>
    <n v="0.1"/>
    <x v="120"/>
    <n v="326.41000000000003"/>
  </r>
  <r>
    <s v="CUST025"/>
    <s v="David Davis"/>
    <x v="2"/>
    <x v="4"/>
    <x v="153"/>
    <n v="8"/>
    <n v="0.15"/>
    <x v="93"/>
    <n v="468.72"/>
  </r>
  <r>
    <s v="CUST025"/>
    <s v="Mary Jackson"/>
    <x v="4"/>
    <x v="2"/>
    <x v="154"/>
    <n v="8"/>
    <n v="0"/>
    <x v="121"/>
    <n v="450.29"/>
  </r>
  <r>
    <s v="CUST025"/>
    <s v="Emma Taylor"/>
    <x v="2"/>
    <x v="3"/>
    <x v="155"/>
    <n v="14"/>
    <n v="0.1"/>
    <x v="101"/>
    <n v="327.92"/>
  </r>
  <r>
    <s v="CUST025"/>
    <s v="Lisa Davis"/>
    <x v="4"/>
    <x v="1"/>
    <x v="156"/>
    <n v="2"/>
    <n v="0.15"/>
    <x v="122"/>
    <n v="343.6"/>
  </r>
  <r>
    <s v="CUST025"/>
    <s v="Lisa Thomas"/>
    <x v="4"/>
    <x v="4"/>
    <x v="157"/>
    <n v="10"/>
    <n v="0.1"/>
    <x v="123"/>
    <n v="410.9"/>
  </r>
  <r>
    <s v="CUST026"/>
    <s v="Mary Davis"/>
    <x v="4"/>
    <x v="2"/>
    <x v="158"/>
    <n v="6"/>
    <n v="0.2"/>
    <x v="52"/>
    <n v="300.85000000000002"/>
  </r>
  <r>
    <s v="CUST026"/>
    <s v="Mary Davis"/>
    <x v="2"/>
    <x v="0"/>
    <x v="159"/>
    <n v="4"/>
    <n v="0"/>
    <x v="124"/>
    <n v="161.26"/>
  </r>
  <r>
    <s v="CUST026"/>
    <s v="Emma Wilson"/>
    <x v="1"/>
    <x v="2"/>
    <x v="160"/>
    <n v="12"/>
    <n v="0.15"/>
    <x v="104"/>
    <n v="365.11"/>
  </r>
  <r>
    <s v="CUST026"/>
    <s v="Mary Davis"/>
    <x v="4"/>
    <x v="2"/>
    <x v="161"/>
    <n v="17"/>
    <n v="0.1"/>
    <x v="14"/>
    <n v="294.12"/>
  </r>
  <r>
    <s v="CUST026"/>
    <s v="Linda Wilson"/>
    <x v="0"/>
    <x v="4"/>
    <x v="162"/>
    <n v="1"/>
    <n v="0"/>
    <x v="125"/>
    <n v="500.1"/>
  </r>
  <r>
    <s v="CUST026"/>
    <s v="Mary Wilson"/>
    <x v="1"/>
    <x v="2"/>
    <x v="163"/>
    <n v="4"/>
    <n v="0.05"/>
    <x v="122"/>
    <n v="318.3"/>
  </r>
  <r>
    <s v="CUST026"/>
    <s v="Emma Taylor"/>
    <x v="4"/>
    <x v="1"/>
    <x v="164"/>
    <n v="9"/>
    <n v="0"/>
    <x v="126"/>
    <n v="492.5"/>
  </r>
  <r>
    <s v="CUST026"/>
    <s v="Sarah Anderson"/>
    <x v="0"/>
    <x v="0"/>
    <x v="165"/>
    <n v="19"/>
    <n v="0.2"/>
    <x v="127"/>
    <n v="232.33"/>
  </r>
  <r>
    <s v="CUST026"/>
    <s v="David Brown"/>
    <x v="0"/>
    <x v="0"/>
    <x v="166"/>
    <n v="3"/>
    <n v="0"/>
    <x v="128"/>
    <n v="257.45"/>
  </r>
  <r>
    <s v="CUST027"/>
    <s v="Emma Davis"/>
    <x v="4"/>
    <x v="4"/>
    <x v="167"/>
    <n v="13"/>
    <n v="0.15"/>
    <x v="72"/>
    <n v="334.84"/>
  </r>
  <r>
    <s v="CUST027"/>
    <s v="Emma Davis"/>
    <x v="1"/>
    <x v="1"/>
    <x v="168"/>
    <n v="17"/>
    <n v="0.1"/>
    <x v="90"/>
    <n v="210.95"/>
  </r>
  <r>
    <s v="CUST027"/>
    <s v="James Wilson"/>
    <x v="0"/>
    <x v="3"/>
    <x v="169"/>
    <n v="17"/>
    <n v="0.1"/>
    <x v="34"/>
    <n v="313.91000000000003"/>
  </r>
  <r>
    <s v="CUST027"/>
    <s v="James Wilson"/>
    <x v="0"/>
    <x v="0"/>
    <x v="170"/>
    <n v="19"/>
    <n v="0"/>
    <x v="62"/>
    <n v="64.63"/>
  </r>
  <r>
    <s v="CUST027"/>
    <s v="Linda Wilson"/>
    <x v="2"/>
    <x v="0"/>
    <x v="171"/>
    <n v="10"/>
    <n v="0.15"/>
    <x v="5"/>
    <n v="316.32"/>
  </r>
  <r>
    <s v="CUST028"/>
    <s v="Linda Taylor"/>
    <x v="4"/>
    <x v="4"/>
    <x v="172"/>
    <n v="19"/>
    <n v="0.1"/>
    <x v="129"/>
    <n v="398.25"/>
  </r>
  <r>
    <s v="CUST028"/>
    <s v="James Wilson"/>
    <x v="3"/>
    <x v="0"/>
    <x v="173"/>
    <n v="3"/>
    <n v="0.2"/>
    <x v="129"/>
    <n v="160.24"/>
  </r>
  <r>
    <s v="CUST028"/>
    <s v="Lisa Davis"/>
    <x v="2"/>
    <x v="2"/>
    <x v="174"/>
    <n v="11"/>
    <n v="0.05"/>
    <x v="44"/>
    <n v="468.84"/>
  </r>
  <r>
    <s v="CUST028"/>
    <s v="James Wilson"/>
    <x v="2"/>
    <x v="4"/>
    <x v="175"/>
    <n v="5"/>
    <n v="0.2"/>
    <x v="113"/>
    <n v="369.35"/>
  </r>
  <r>
    <s v="CUST028"/>
    <s v="Linda Brown"/>
    <x v="2"/>
    <x v="0"/>
    <x v="176"/>
    <n v="7"/>
    <n v="0.1"/>
    <x v="32"/>
    <n v="177.77"/>
  </r>
  <r>
    <s v="CUST028"/>
    <s v="Linda Brown"/>
    <x v="3"/>
    <x v="3"/>
    <x v="177"/>
    <n v="5"/>
    <n v="0"/>
    <x v="130"/>
    <n v="581.5"/>
  </r>
  <r>
    <s v="CUST028"/>
    <s v="Lisa Davis"/>
    <x v="1"/>
    <x v="4"/>
    <x v="178"/>
    <n v="1"/>
    <n v="0.2"/>
    <x v="63"/>
    <n v="111.39"/>
  </r>
  <r>
    <s v="CUST028"/>
    <s v="James Wilson"/>
    <x v="2"/>
    <x v="4"/>
    <x v="179"/>
    <n v="10"/>
    <n v="0.1"/>
    <x v="91"/>
    <n v="301.75"/>
  </r>
  <r>
    <s v="CUST028"/>
    <s v="James Wilson"/>
    <x v="0"/>
    <x v="0"/>
    <x v="180"/>
    <n v="14"/>
    <n v="0.2"/>
    <x v="131"/>
    <n v="223.04"/>
  </r>
  <r>
    <s v="CUST028"/>
    <s v="Sarah Davis"/>
    <x v="1"/>
    <x v="1"/>
    <x v="181"/>
    <n v="8"/>
    <n v="0.1"/>
    <x v="132"/>
    <n v="255.79"/>
  </r>
  <r>
    <s v="CUST028"/>
    <s v="Mary Wilson"/>
    <x v="1"/>
    <x v="1"/>
    <x v="182"/>
    <n v="15"/>
    <n v="0.2"/>
    <x v="133"/>
    <n v="159.74"/>
  </r>
  <r>
    <s v="CUST028"/>
    <s v="Robert Anderson"/>
    <x v="3"/>
    <x v="4"/>
    <x v="183"/>
    <n v="3"/>
    <n v="0"/>
    <x v="134"/>
    <n v="333.36"/>
  </r>
  <r>
    <s v="CUST029"/>
    <s v="David Smith"/>
    <x v="1"/>
    <x v="2"/>
    <x v="184"/>
    <n v="15"/>
    <n v="0.15"/>
    <x v="135"/>
    <n v="155.19999999999999"/>
  </r>
  <r>
    <s v="CUST029"/>
    <s v="Sarah Davis"/>
    <x v="1"/>
    <x v="0"/>
    <x v="185"/>
    <n v="1"/>
    <n v="0.2"/>
    <x v="136"/>
    <n v="148.32"/>
  </r>
  <r>
    <s v="CUST029"/>
    <s v="Emma Wilson"/>
    <x v="3"/>
    <x v="0"/>
    <x v="186"/>
    <n v="5"/>
    <n v="0.05"/>
    <x v="137"/>
    <n v="261.27"/>
  </r>
  <r>
    <s v="CUST029"/>
    <s v="Emma Wilson"/>
    <x v="0"/>
    <x v="2"/>
    <x v="187"/>
    <n v="7"/>
    <n v="0.15"/>
    <x v="108"/>
    <n v="348.96"/>
  </r>
  <r>
    <s v="CUST029"/>
    <s v="Lisa Thomas"/>
    <x v="4"/>
    <x v="0"/>
    <x v="188"/>
    <n v="4"/>
    <n v="0.15"/>
    <x v="9"/>
    <n v="195.33"/>
  </r>
  <r>
    <s v="CUST029"/>
    <s v="David Brown"/>
    <x v="0"/>
    <x v="3"/>
    <x v="189"/>
    <n v="2"/>
    <n v="0.05"/>
    <x v="138"/>
    <n v="410.87"/>
  </r>
  <r>
    <s v="CUST029"/>
    <s v="Michael Anderson"/>
    <x v="1"/>
    <x v="0"/>
    <x v="190"/>
    <n v="15"/>
    <n v="0.2"/>
    <x v="139"/>
    <n v="91.71"/>
  </r>
  <r>
    <s v="CUST030"/>
    <s v="James Wilson"/>
    <x v="1"/>
    <x v="1"/>
    <x v="191"/>
    <n v="12"/>
    <n v="0.2"/>
    <x v="140"/>
    <n v="271.04000000000002"/>
  </r>
  <r>
    <s v="CUST030"/>
    <s v="John Brown"/>
    <x v="1"/>
    <x v="2"/>
    <x v="192"/>
    <n v="17"/>
    <n v="0"/>
    <x v="141"/>
    <n v="236.44"/>
  </r>
  <r>
    <s v="CUST030"/>
    <s v="Sarah Davis"/>
    <x v="3"/>
    <x v="2"/>
    <x v="193"/>
    <n v="2"/>
    <n v="0"/>
    <x v="142"/>
    <n v="380.43"/>
  </r>
  <r>
    <s v="CUST030"/>
    <s v="Emma Taylor"/>
    <x v="2"/>
    <x v="1"/>
    <x v="194"/>
    <n v="11"/>
    <n v="0"/>
    <x v="143"/>
    <n v="389.3"/>
  </r>
  <r>
    <s v="CUST030"/>
    <s v="David Brown"/>
    <x v="2"/>
    <x v="0"/>
    <x v="195"/>
    <n v="1"/>
    <n v="0.05"/>
    <x v="144"/>
    <n v="144.56"/>
  </r>
  <r>
    <s v="CUST030"/>
    <s v="Mary Davis"/>
    <x v="4"/>
    <x v="3"/>
    <x v="196"/>
    <n v="18"/>
    <n v="0.1"/>
    <x v="145"/>
    <n v="581.16"/>
  </r>
  <r>
    <s v="CUST030"/>
    <s v="Sarah Anderson"/>
    <x v="0"/>
    <x v="3"/>
    <x v="197"/>
    <n v="17"/>
    <n v="0.1"/>
    <x v="146"/>
    <n v="263.32"/>
  </r>
  <r>
    <s v="CUST030"/>
    <s v="Mary Davis"/>
    <x v="4"/>
    <x v="3"/>
    <x v="198"/>
    <n v="5"/>
    <n v="0.2"/>
    <x v="147"/>
    <n v="443.99"/>
  </r>
  <r>
    <s v="CUST030"/>
    <s v="Linda Taylor"/>
    <x v="1"/>
    <x v="1"/>
    <x v="199"/>
    <n v="10"/>
    <n v="0.15"/>
    <x v="43"/>
    <n v="255.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01"/>
    <s v="Linda Wilson"/>
    <s v="West"/>
    <x v="0"/>
    <n v="1317.53"/>
    <n v="12"/>
    <n v="0.05"/>
    <x v="0"/>
    <n v="312.91000000000003"/>
    <d v="2026-05-02T22:01:09"/>
  </r>
  <r>
    <s v="CUST001"/>
    <s v="Lisa Thomas"/>
    <s v="West"/>
    <x v="1"/>
    <n v="636.70000000000005"/>
    <n v="4"/>
    <n v="0.2"/>
    <x v="1"/>
    <n v="203.74"/>
    <d v="2026-05-02T22:01:09"/>
  </r>
  <r>
    <s v="CUST001"/>
    <s v="Mary Jackson"/>
    <s v="West"/>
    <x v="2"/>
    <n v="853.72"/>
    <n v="5"/>
    <n v="0.15"/>
    <x v="2"/>
    <n v="253.98"/>
    <d v="2026-05-02T22:01:09"/>
  </r>
  <r>
    <s v="CUST001"/>
    <s v="Lisa Thomas"/>
    <s v="North"/>
    <x v="2"/>
    <n v="1077.92"/>
    <n v="3"/>
    <n v="0.05"/>
    <x v="3"/>
    <n v="358.41"/>
    <d v="2026-05-02T22:01:09"/>
  </r>
  <r>
    <s v="CUST001"/>
    <s v="Sarah Anderson"/>
    <s v="West"/>
    <x v="0"/>
    <n v="894.55"/>
    <n v="19"/>
    <n v="0.2"/>
    <x v="4"/>
    <n v="178.91"/>
    <d v="2026-05-02T22:01:09"/>
  </r>
  <r>
    <s v="CUST001"/>
    <s v="Michael Anderson"/>
    <s v="Central"/>
    <x v="2"/>
    <n v="1432.47"/>
    <n v="16"/>
    <n v="0.15"/>
    <x v="5"/>
    <n v="426.16"/>
    <d v="2026-05-02T22:01:09"/>
  </r>
  <r>
    <s v="CUST001"/>
    <s v="David Anderson"/>
    <s v="North"/>
    <x v="3"/>
    <n v="336.66"/>
    <n v="13"/>
    <n v="0.2"/>
    <x v="6"/>
    <n v="134.66"/>
    <d v="2026-05-02T22:01:09"/>
  </r>
  <r>
    <s v="CUST002"/>
    <s v="Lisa Davis"/>
    <s v="West"/>
    <x v="1"/>
    <n v="942.9"/>
    <n v="18"/>
    <n v="0.1"/>
    <x v="7"/>
    <n v="339.44"/>
    <d v="2026-05-02T22:01:09"/>
  </r>
  <r>
    <s v="CUST002"/>
    <s v="Mary Davis"/>
    <s v="South"/>
    <x v="1"/>
    <n v="876.44"/>
    <n v="12"/>
    <n v="0.05"/>
    <x v="8"/>
    <n v="333.05"/>
    <d v="2026-05-02T22:01:09"/>
  </r>
  <r>
    <s v="CUST002"/>
    <s v="Linda Brown"/>
    <s v="East"/>
    <x v="0"/>
    <n v="1410.59"/>
    <n v="15"/>
    <n v="0"/>
    <x v="9"/>
    <n v="352.65"/>
    <d v="2026-05-02T22:01:09"/>
  </r>
  <r>
    <s v="CUST002"/>
    <s v="Emma Wilson"/>
    <s v="South"/>
    <x v="2"/>
    <n v="806.03"/>
    <n v="19"/>
    <n v="0.05"/>
    <x v="10"/>
    <n v="268"/>
    <d v="2026-05-02T22:01:09"/>
  </r>
  <r>
    <s v="CUST002"/>
    <s v="Lisa Davis"/>
    <s v="West"/>
    <x v="4"/>
    <n v="827.25"/>
    <n v="7"/>
    <n v="0.1"/>
    <x v="11"/>
    <n v="335.04"/>
    <d v="2026-05-02T22:01:09"/>
  </r>
  <r>
    <s v="CUST002"/>
    <s v="Mary Jackson"/>
    <s v="Central"/>
    <x v="4"/>
    <n v="1618.22"/>
    <n v="12"/>
    <n v="0.2"/>
    <x v="12"/>
    <n v="582.55999999999995"/>
    <d v="2026-05-02T22:01:09"/>
  </r>
  <r>
    <s v="CUST003"/>
    <s v="Emma Davis"/>
    <s v="North"/>
    <x v="1"/>
    <n v="1248.82"/>
    <n v="2"/>
    <n v="0.1"/>
    <x v="13"/>
    <n v="449.58"/>
    <d v="2026-05-02T22:01:09"/>
  </r>
  <r>
    <s v="CUST003"/>
    <s v="James Davis"/>
    <s v="West"/>
    <x v="0"/>
    <n v="1005.53"/>
    <n v="17"/>
    <n v="0.2"/>
    <x v="14"/>
    <n v="201.11"/>
    <d v="2026-05-02T22:01:09"/>
  </r>
  <r>
    <s v="CUST003"/>
    <s v="James Wilson"/>
    <s v="North"/>
    <x v="2"/>
    <n v="1034.7"/>
    <n v="15"/>
    <n v="0.15"/>
    <x v="15"/>
    <n v="307.82"/>
    <d v="2026-05-02T22:01:09"/>
  </r>
  <r>
    <s v="CUST003"/>
    <s v="James Davis"/>
    <s v="South"/>
    <x v="0"/>
    <n v="1335.87"/>
    <n v="17"/>
    <n v="0"/>
    <x v="16"/>
    <n v="333.97"/>
    <d v="2026-05-02T22:01:09"/>
  </r>
  <r>
    <s v="CUST003"/>
    <s v="James Wilson"/>
    <s v="West"/>
    <x v="0"/>
    <n v="1158.94"/>
    <n v="19"/>
    <n v="0.2"/>
    <x v="17"/>
    <n v="231.79"/>
    <d v="2026-05-02T22:01:09"/>
  </r>
  <r>
    <s v="CUST003"/>
    <s v="James Wilson"/>
    <s v="Central"/>
    <x v="3"/>
    <n v="902.19"/>
    <n v="12"/>
    <n v="0"/>
    <x v="18"/>
    <n v="451.1"/>
    <d v="2026-05-02T22:01:09"/>
  </r>
  <r>
    <s v="CUST003"/>
    <s v="Linda Moore"/>
    <s v="North"/>
    <x v="3"/>
    <n v="661.09"/>
    <n v="1"/>
    <n v="0.2"/>
    <x v="19"/>
    <n v="264.44"/>
    <d v="2026-05-02T22:01:09"/>
  </r>
  <r>
    <s v="CUST003"/>
    <s v="Sarah Anderson"/>
    <s v="South"/>
    <x v="1"/>
    <n v="704.28"/>
    <n v="15"/>
    <n v="0.2"/>
    <x v="12"/>
    <n v="225.37"/>
    <d v="2026-05-02T22:01:09"/>
  </r>
  <r>
    <s v="CUST003"/>
    <s v="Emma Davis"/>
    <s v="East"/>
    <x v="4"/>
    <n v="438.76"/>
    <n v="18"/>
    <n v="0.05"/>
    <x v="20"/>
    <n v="187.57"/>
    <d v="2026-05-02T22:01:09"/>
  </r>
  <r>
    <s v="CUST004"/>
    <s v="Lisa Thomas"/>
    <s v="North"/>
    <x v="2"/>
    <n v="518.07000000000005"/>
    <n v="7"/>
    <n v="0.05"/>
    <x v="21"/>
    <n v="172.26"/>
    <d v="2026-05-02T22:01:09"/>
  </r>
  <r>
    <s v="CUST004"/>
    <s v="Sarah Davis"/>
    <s v="West"/>
    <x v="4"/>
    <n v="1443.98"/>
    <n v="19"/>
    <n v="0"/>
    <x v="22"/>
    <n v="649.79"/>
    <d v="2026-05-02T22:01:09"/>
  </r>
  <r>
    <s v="CUST004"/>
    <s v="James Taylor"/>
    <s v="Central"/>
    <x v="3"/>
    <n v="1277.8499999999999"/>
    <n v="18"/>
    <n v="0.2"/>
    <x v="23"/>
    <n v="511.14"/>
    <d v="2026-05-02T22:01:09"/>
  </r>
  <r>
    <s v="CUST004"/>
    <s v="Mary Davis"/>
    <s v="North"/>
    <x v="3"/>
    <n v="1589.42"/>
    <n v="6"/>
    <n v="0.15"/>
    <x v="6"/>
    <n v="675.5"/>
    <d v="2026-05-02T22:01:09"/>
  </r>
  <r>
    <s v="CUST004"/>
    <s v="James Davis"/>
    <s v="East"/>
    <x v="4"/>
    <n v="1311.26"/>
    <n v="6"/>
    <n v="0.1"/>
    <x v="24"/>
    <n v="531.05999999999995"/>
    <d v="2026-05-02T22:01:09"/>
  </r>
  <r>
    <s v="CUST004"/>
    <s v="Mary Davis"/>
    <s v="South"/>
    <x v="4"/>
    <n v="573.32000000000005"/>
    <n v="19"/>
    <n v="0.1"/>
    <x v="25"/>
    <n v="232.19"/>
    <d v="2026-05-02T22:01:09"/>
  </r>
  <r>
    <s v="CUST004"/>
    <s v="Linda Wilson"/>
    <s v="East"/>
    <x v="1"/>
    <n v="1099.69"/>
    <n v="6"/>
    <n v="0"/>
    <x v="26"/>
    <n v="439.88"/>
    <d v="2026-05-02T22:01:09"/>
  </r>
  <r>
    <s v="CUST005"/>
    <s v="Robert Anderson"/>
    <s v="South"/>
    <x v="0"/>
    <n v="760.93"/>
    <n v="4"/>
    <n v="0.15"/>
    <x v="27"/>
    <n v="161.69999999999999"/>
    <d v="2026-05-02T22:01:09"/>
  </r>
  <r>
    <s v="CUST005"/>
    <s v="Sarah Anderson"/>
    <s v="South"/>
    <x v="0"/>
    <n v="1502.93"/>
    <n v="14"/>
    <n v="0.2"/>
    <x v="28"/>
    <n v="300.58999999999997"/>
    <d v="2026-05-02T22:01:09"/>
  </r>
  <r>
    <s v="CUST005"/>
    <s v="David Smith"/>
    <s v="South"/>
    <x v="1"/>
    <n v="1151.21"/>
    <n v="15"/>
    <n v="0.1"/>
    <x v="29"/>
    <n v="414.44"/>
    <d v="2026-05-02T22:01:09"/>
  </r>
  <r>
    <s v="CUST005"/>
    <s v="Robert Anderson"/>
    <s v="South"/>
    <x v="2"/>
    <n v="919.04"/>
    <n v="10"/>
    <n v="0.2"/>
    <x v="30"/>
    <n v="257.33"/>
    <d v="2026-05-02T22:01:09"/>
  </r>
  <r>
    <s v="CUST005"/>
    <s v="Linda Taylor"/>
    <s v="Central"/>
    <x v="2"/>
    <n v="1261.3399999999999"/>
    <n v="3"/>
    <n v="0"/>
    <x v="31"/>
    <n v="441.47"/>
    <d v="2026-05-02T22:01:09"/>
  </r>
  <r>
    <s v="CUST005"/>
    <s v="Lisa Davis"/>
    <s v="Central"/>
    <x v="1"/>
    <n v="1070.68"/>
    <n v="7"/>
    <n v="0.05"/>
    <x v="32"/>
    <n v="406.86"/>
    <d v="2026-05-02T22:01:09"/>
  </r>
  <r>
    <s v="CUST006"/>
    <s v="Mary Jackson"/>
    <s v="West"/>
    <x v="1"/>
    <n v="1506.14"/>
    <n v="13"/>
    <n v="0.2"/>
    <x v="33"/>
    <n v="481.96"/>
    <d v="2026-05-02T22:01:09"/>
  </r>
  <r>
    <s v="CUST006"/>
    <s v="David Anderson"/>
    <s v="West"/>
    <x v="2"/>
    <n v="1193.6099999999999"/>
    <n v="1"/>
    <n v="0.15"/>
    <x v="34"/>
    <n v="355.1"/>
    <d v="2026-05-02T22:01:09"/>
  </r>
  <r>
    <s v="CUST007"/>
    <s v="Michael Anderson"/>
    <s v="North"/>
    <x v="2"/>
    <n v="965.64"/>
    <n v="8"/>
    <n v="0.1"/>
    <x v="0"/>
    <n v="304.18"/>
    <d v="2026-05-02T22:01:09"/>
  </r>
  <r>
    <s v="CUST007"/>
    <s v="Michael Anderson"/>
    <s v="Central"/>
    <x v="1"/>
    <n v="1191.58"/>
    <n v="14"/>
    <n v="0.05"/>
    <x v="35"/>
    <n v="452.8"/>
    <d v="2026-05-02T22:01:09"/>
  </r>
  <r>
    <s v="CUST007"/>
    <s v="Lisa Davis"/>
    <s v="South"/>
    <x v="3"/>
    <n v="953.3"/>
    <n v="11"/>
    <n v="0"/>
    <x v="36"/>
    <n v="476.65"/>
    <d v="2026-05-02T22:01:09"/>
  </r>
  <r>
    <s v="CUST007"/>
    <s v="Robert Anderson"/>
    <s v="Central"/>
    <x v="1"/>
    <n v="939.09"/>
    <n v="2"/>
    <n v="0.05"/>
    <x v="37"/>
    <n v="356.85"/>
    <d v="2026-05-02T22:01:09"/>
  </r>
  <r>
    <s v="CUST007"/>
    <s v="Linda Jackson"/>
    <s v="South"/>
    <x v="0"/>
    <n v="1021.47"/>
    <n v="6"/>
    <n v="0.05"/>
    <x v="38"/>
    <n v="242.6"/>
    <d v="2026-05-02T22:01:09"/>
  </r>
  <r>
    <s v="CUST007"/>
    <s v="David Brown"/>
    <s v="North"/>
    <x v="1"/>
    <n v="679.71"/>
    <n v="19"/>
    <n v="0"/>
    <x v="39"/>
    <n v="271.88"/>
    <d v="2026-05-02T22:01:09"/>
  </r>
  <r>
    <s v="CUST007"/>
    <s v="Emma Taylor"/>
    <s v="West"/>
    <x v="2"/>
    <n v="1101.55"/>
    <n v="4"/>
    <n v="0.1"/>
    <x v="40"/>
    <n v="346.99"/>
    <d v="2026-05-02T22:01:09"/>
  </r>
  <r>
    <s v="CUST007"/>
    <s v="Emma Davis"/>
    <s v="North"/>
    <x v="4"/>
    <n v="833.91"/>
    <n v="3"/>
    <n v="0.05"/>
    <x v="41"/>
    <n v="356.5"/>
    <d v="2026-05-02T22:01:09"/>
  </r>
  <r>
    <s v="CUST007"/>
    <s v="David Brown"/>
    <s v="West"/>
    <x v="3"/>
    <n v="1493.49"/>
    <n v="18"/>
    <n v="0"/>
    <x v="42"/>
    <n v="746.74"/>
    <d v="2026-05-02T22:01:09"/>
  </r>
  <r>
    <s v="CUST007"/>
    <s v="James Davis"/>
    <s v="South"/>
    <x v="3"/>
    <n v="762.14"/>
    <n v="9"/>
    <n v="0"/>
    <x v="43"/>
    <n v="381.07"/>
    <d v="2026-05-02T22:01:09"/>
  </r>
  <r>
    <s v="CUST008"/>
    <s v="Robert Anderson"/>
    <s v="South"/>
    <x v="1"/>
    <n v="877.58"/>
    <n v="10"/>
    <n v="0.15"/>
    <x v="1"/>
    <n v="298.38"/>
    <d v="2026-05-02T22:01:09"/>
  </r>
  <r>
    <s v="CUST008"/>
    <s v="Mary Wilson"/>
    <s v="Central"/>
    <x v="2"/>
    <n v="773.09"/>
    <n v="13"/>
    <n v="0.15"/>
    <x v="44"/>
    <n v="229.99"/>
    <d v="2026-05-02T22:01:09"/>
  </r>
  <r>
    <s v="CUST008"/>
    <s v="John Brown"/>
    <s v="South"/>
    <x v="0"/>
    <n v="775.45"/>
    <n v="6"/>
    <n v="0.1"/>
    <x v="45"/>
    <n v="174.48"/>
    <d v="2026-05-02T22:01:09"/>
  </r>
  <r>
    <s v="CUST008"/>
    <s v="James Davis"/>
    <s v="Central"/>
    <x v="4"/>
    <n v="804.81"/>
    <n v="1"/>
    <n v="0.05"/>
    <x v="46"/>
    <n v="344.06"/>
    <d v="2026-05-02T22:01:09"/>
  </r>
  <r>
    <s v="CUST008"/>
    <s v="David Davis"/>
    <s v="Central"/>
    <x v="0"/>
    <n v="1014.09"/>
    <n v="13"/>
    <n v="0.2"/>
    <x v="47"/>
    <n v="202.82"/>
    <d v="2026-05-02T22:01:09"/>
  </r>
  <r>
    <s v="CUST008"/>
    <s v="James Wilson"/>
    <s v="East"/>
    <x v="1"/>
    <n v="1081.1400000000001"/>
    <n v="19"/>
    <n v="0.15"/>
    <x v="48"/>
    <n v="367.59"/>
    <d v="2026-05-02T22:01:09"/>
  </r>
  <r>
    <s v="CUST008"/>
    <s v="James Wilson"/>
    <s v="East"/>
    <x v="4"/>
    <n v="1014.22"/>
    <n v="14"/>
    <n v="0.05"/>
    <x v="49"/>
    <n v="433.58"/>
    <d v="2026-05-02T22:01:09"/>
  </r>
  <r>
    <s v="CUST008"/>
    <s v="Lisa Thomas"/>
    <s v="Central"/>
    <x v="3"/>
    <n v="1076.33"/>
    <n v="2"/>
    <n v="0.1"/>
    <x v="50"/>
    <n v="484.35"/>
    <d v="2026-05-02T22:01:09"/>
  </r>
  <r>
    <s v="CUST008"/>
    <s v="Mary Davis"/>
    <s v="Central"/>
    <x v="4"/>
    <n v="1250.71"/>
    <n v="7"/>
    <n v="0"/>
    <x v="50"/>
    <n v="562.82000000000005"/>
    <d v="2026-05-02T22:01:09"/>
  </r>
  <r>
    <s v="CUST008"/>
    <s v="Emma Wilson"/>
    <s v="East"/>
    <x v="2"/>
    <n v="1093.3800000000001"/>
    <n v="17"/>
    <n v="0.1"/>
    <x v="51"/>
    <n v="344.41"/>
    <d v="2026-05-02T22:01:09"/>
  </r>
  <r>
    <s v="CUST009"/>
    <s v="Linda Jackson"/>
    <s v="Central"/>
    <x v="1"/>
    <n v="501.54"/>
    <n v="11"/>
    <n v="0.05"/>
    <x v="52"/>
    <n v="190.59"/>
    <d v="2026-05-02T22:01:09"/>
  </r>
  <r>
    <s v="CUST009"/>
    <s v="Emma Davis"/>
    <s v="North"/>
    <x v="0"/>
    <n v="818.8"/>
    <n v="15"/>
    <n v="0.15"/>
    <x v="30"/>
    <n v="173.99"/>
    <d v="2026-05-02T22:01:09"/>
  </r>
  <r>
    <s v="CUST009"/>
    <s v="Emma Davis"/>
    <s v="South"/>
    <x v="0"/>
    <n v="771.02"/>
    <n v="1"/>
    <n v="0"/>
    <x v="53"/>
    <n v="192.76"/>
    <d v="2026-05-02T22:01:09"/>
  </r>
  <r>
    <s v="CUST009"/>
    <s v="Emma Wilson"/>
    <s v="South"/>
    <x v="2"/>
    <n v="1350.33"/>
    <n v="10"/>
    <n v="0"/>
    <x v="9"/>
    <n v="472.62"/>
    <d v="2026-05-02T22:01:09"/>
  </r>
  <r>
    <s v="CUST009"/>
    <s v="Mary Davis"/>
    <s v="North"/>
    <x v="1"/>
    <n v="1189.83"/>
    <n v="2"/>
    <n v="0.2"/>
    <x v="54"/>
    <n v="380.75"/>
    <d v="2026-05-02T22:01:09"/>
  </r>
  <r>
    <s v="CUST009"/>
    <s v="Linda Taylor"/>
    <s v="South"/>
    <x v="3"/>
    <n v="689.43"/>
    <n v="9"/>
    <n v="0.1"/>
    <x v="55"/>
    <n v="310.24"/>
    <d v="2026-05-02T22:01:09"/>
  </r>
  <r>
    <s v="CUST009"/>
    <s v="Michael Anderson"/>
    <s v="South"/>
    <x v="2"/>
    <n v="1184.25"/>
    <n v="11"/>
    <n v="0.2"/>
    <x v="56"/>
    <n v="331.59"/>
    <d v="2026-05-02T22:01:09"/>
  </r>
  <r>
    <s v="CUST010"/>
    <s v="David Thomas"/>
    <s v="Central"/>
    <x v="3"/>
    <n v="737.31"/>
    <n v="2"/>
    <n v="0.05"/>
    <x v="52"/>
    <n v="350.22"/>
    <d v="2026-05-02T22:01:09"/>
  </r>
  <r>
    <s v="CUST010"/>
    <s v="Linda Brown"/>
    <s v="South"/>
    <x v="0"/>
    <n v="1173.1199999999999"/>
    <n v="18"/>
    <n v="0"/>
    <x v="57"/>
    <n v="293.27999999999997"/>
    <d v="2026-05-02T22:01:09"/>
  </r>
  <r>
    <s v="CUST010"/>
    <s v="David Brown"/>
    <s v="Central"/>
    <x v="4"/>
    <n v="488.99"/>
    <n v="9"/>
    <n v="0"/>
    <x v="58"/>
    <n v="220.05"/>
    <d v="2026-05-02T22:01:09"/>
  </r>
  <r>
    <s v="CUST010"/>
    <s v="Linda Wilson"/>
    <s v="West"/>
    <x v="2"/>
    <n v="862.19"/>
    <n v="18"/>
    <n v="0.05"/>
    <x v="59"/>
    <n v="286.68"/>
    <d v="2026-05-02T22:01:09"/>
  </r>
  <r>
    <s v="CUST010"/>
    <s v="David Thomas"/>
    <s v="East"/>
    <x v="1"/>
    <n v="997.61"/>
    <n v="8"/>
    <n v="0.05"/>
    <x v="60"/>
    <n v="379.09"/>
    <d v="2026-05-02T22:01:09"/>
  </r>
  <r>
    <s v="CUST011"/>
    <s v="Mary Davis"/>
    <s v="North"/>
    <x v="4"/>
    <n v="1001.57"/>
    <n v="12"/>
    <n v="0"/>
    <x v="61"/>
    <n v="450.71"/>
    <d v="2026-05-02T22:01:09"/>
  </r>
  <r>
    <s v="CUST011"/>
    <s v="Emma Wilson"/>
    <s v="East"/>
    <x v="1"/>
    <n v="1213.48"/>
    <n v="5"/>
    <n v="0.05"/>
    <x v="62"/>
    <n v="461.12"/>
    <d v="2026-05-02T22:01:09"/>
  </r>
  <r>
    <s v="CUST011"/>
    <s v="Linda Moore"/>
    <s v="Central"/>
    <x v="3"/>
    <n v="662.61"/>
    <n v="11"/>
    <n v="0.05"/>
    <x v="63"/>
    <n v="314.74"/>
    <d v="2026-05-02T22:01:09"/>
  </r>
  <r>
    <s v="CUST011"/>
    <s v="Linda Wilson"/>
    <s v="North"/>
    <x v="1"/>
    <n v="884.63"/>
    <n v="18"/>
    <n v="0.1"/>
    <x v="64"/>
    <n v="318.47000000000003"/>
    <d v="2026-05-02T22:01:09"/>
  </r>
  <r>
    <s v="CUST012"/>
    <s v="Robert Anderson"/>
    <s v="West"/>
    <x v="3"/>
    <n v="1101.28"/>
    <n v="3"/>
    <n v="0.2"/>
    <x v="65"/>
    <n v="440.51"/>
    <d v="2026-05-02T22:01:09"/>
  </r>
  <r>
    <s v="CUST012"/>
    <s v="Mary Davis"/>
    <s v="Central"/>
    <x v="4"/>
    <n v="925.31"/>
    <n v="8"/>
    <n v="0.1"/>
    <x v="57"/>
    <n v="374.75"/>
    <d v="2026-05-02T22:01:09"/>
  </r>
  <r>
    <s v="CUST012"/>
    <s v="Michael Anderson"/>
    <s v="West"/>
    <x v="1"/>
    <n v="472.38"/>
    <n v="12"/>
    <n v="0.2"/>
    <x v="66"/>
    <n v="151.16"/>
    <d v="2026-05-02T22:01:09"/>
  </r>
  <r>
    <s v="CUST012"/>
    <s v="Mary Wilson"/>
    <s v="West"/>
    <x v="3"/>
    <n v="1360.36"/>
    <n v="17"/>
    <n v="0"/>
    <x v="13"/>
    <n v="680.18"/>
    <d v="2026-05-02T22:01:09"/>
  </r>
  <r>
    <s v="CUST012"/>
    <s v="David Anderson"/>
    <s v="South"/>
    <x v="1"/>
    <n v="804.45"/>
    <n v="5"/>
    <n v="0.2"/>
    <x v="67"/>
    <n v="257.42"/>
    <d v="2026-05-02T22:01:09"/>
  </r>
  <r>
    <s v="CUST012"/>
    <s v="Linda Wilson"/>
    <s v="West"/>
    <x v="0"/>
    <n v="1215.26"/>
    <n v="5"/>
    <n v="0.15"/>
    <x v="68"/>
    <n v="258.24"/>
    <d v="2026-05-02T22:01:09"/>
  </r>
  <r>
    <s v="CUST012"/>
    <s v="Lisa Davis"/>
    <s v="North"/>
    <x v="0"/>
    <n v="925.29"/>
    <n v="17"/>
    <n v="0"/>
    <x v="69"/>
    <n v="231.32"/>
    <d v="2026-05-02T22:01:09"/>
  </r>
  <r>
    <s v="CUST012"/>
    <s v="David Brown"/>
    <s v="West"/>
    <x v="0"/>
    <n v="688.83"/>
    <n v="15"/>
    <n v="0"/>
    <x v="70"/>
    <n v="172.21"/>
    <d v="2026-05-02T22:01:09"/>
  </r>
  <r>
    <s v="CUST012"/>
    <s v="Lisa Thomas"/>
    <s v="North"/>
    <x v="3"/>
    <n v="845.84"/>
    <n v="4"/>
    <n v="0"/>
    <x v="71"/>
    <n v="422.92"/>
    <d v="2026-05-02T22:01:09"/>
  </r>
  <r>
    <s v="CUST013"/>
    <s v="Robert Anderson"/>
    <s v="South"/>
    <x v="2"/>
    <n v="727.73"/>
    <n v="1"/>
    <n v="0.1"/>
    <x v="72"/>
    <n v="229.23"/>
    <d v="2026-05-02T22:01:09"/>
  </r>
  <r>
    <s v="CUST013"/>
    <s v="Linda Wilson"/>
    <s v="Central"/>
    <x v="1"/>
    <n v="1249.0999999999999"/>
    <n v="4"/>
    <n v="0.05"/>
    <x v="73"/>
    <n v="474.66"/>
    <d v="2026-05-02T22:01:09"/>
  </r>
  <r>
    <s v="CUST013"/>
    <s v="Mary Wilson"/>
    <s v="North"/>
    <x v="3"/>
    <n v="1171.18"/>
    <n v="19"/>
    <n v="0.05"/>
    <x v="74"/>
    <n v="556.30999999999995"/>
    <d v="2026-05-02T22:01:09"/>
  </r>
  <r>
    <s v="CUST013"/>
    <s v="Linda Taylor"/>
    <s v="Central"/>
    <x v="1"/>
    <n v="1014.43"/>
    <n v="2"/>
    <n v="0.15"/>
    <x v="75"/>
    <n v="344.91"/>
    <d v="2026-05-02T22:01:09"/>
  </r>
  <r>
    <s v="CUST014"/>
    <s v="Emma Davis"/>
    <s v="West"/>
    <x v="4"/>
    <n v="1572.82"/>
    <n v="6"/>
    <n v="0.05"/>
    <x v="76"/>
    <n v="672.38"/>
    <d v="2026-05-02T22:01:09"/>
  </r>
  <r>
    <s v="CUST014"/>
    <s v="David Thomas"/>
    <s v="Central"/>
    <x v="1"/>
    <n v="1343.13"/>
    <n v="14"/>
    <n v="0.15"/>
    <x v="77"/>
    <n v="456.66"/>
    <d v="2026-05-02T22:01:09"/>
  </r>
  <r>
    <s v="CUST014"/>
    <s v="Sarah Davis"/>
    <s v="South"/>
    <x v="1"/>
    <n v="961.62"/>
    <n v="8"/>
    <n v="0.2"/>
    <x v="48"/>
    <n v="307.72000000000003"/>
    <d v="2026-05-02T22:01:09"/>
  </r>
  <r>
    <s v="CUST014"/>
    <s v="David Anderson"/>
    <s v="South"/>
    <x v="2"/>
    <n v="853.86"/>
    <n v="8"/>
    <n v="0.1"/>
    <x v="78"/>
    <n v="268.97000000000003"/>
    <d v="2026-05-02T22:01:09"/>
  </r>
  <r>
    <s v="CUST014"/>
    <s v="Emma Davis"/>
    <s v="South"/>
    <x v="1"/>
    <n v="1064.19"/>
    <n v="18"/>
    <n v="0.05"/>
    <x v="79"/>
    <n v="404.39"/>
    <d v="2026-05-02T22:01:09"/>
  </r>
  <r>
    <s v="CUST014"/>
    <s v="Sarah Anderson"/>
    <s v="West"/>
    <x v="3"/>
    <n v="934.27"/>
    <n v="8"/>
    <n v="0.15"/>
    <x v="80"/>
    <n v="397.06"/>
    <d v="2026-05-02T22:01:09"/>
  </r>
  <r>
    <s v="CUST015"/>
    <s v="Linda Taylor"/>
    <s v="North"/>
    <x v="4"/>
    <n v="1200.9000000000001"/>
    <n v="14"/>
    <n v="0.05"/>
    <x v="66"/>
    <n v="513.38"/>
    <d v="2026-05-02T22:01:09"/>
  </r>
  <r>
    <s v="CUST015"/>
    <s v="James Wilson"/>
    <s v="South"/>
    <x v="3"/>
    <n v="1226.6199999999999"/>
    <n v="7"/>
    <n v="0.1"/>
    <x v="81"/>
    <n v="551.98"/>
    <d v="2026-05-02T22:01:09"/>
  </r>
  <r>
    <s v="CUST015"/>
    <s v="David Thomas"/>
    <s v="West"/>
    <x v="3"/>
    <n v="1168.8900000000001"/>
    <n v="4"/>
    <n v="0.1"/>
    <x v="16"/>
    <n v="526"/>
    <d v="2026-05-02T22:01:09"/>
  </r>
  <r>
    <s v="CUST015"/>
    <s v="James Wilson"/>
    <s v="West"/>
    <x v="3"/>
    <n v="1923.66"/>
    <n v="9"/>
    <n v="0.2"/>
    <x v="82"/>
    <n v="769.46"/>
    <d v="2026-05-02T22:01:09"/>
  </r>
  <r>
    <s v="CUST015"/>
    <s v="David Anderson"/>
    <s v="West"/>
    <x v="2"/>
    <n v="820.19"/>
    <n v="4"/>
    <n v="0.2"/>
    <x v="83"/>
    <n v="229.65"/>
    <d v="2026-05-02T22:01:09"/>
  </r>
  <r>
    <s v="CUST015"/>
    <s v="Emma Davis"/>
    <s v="Central"/>
    <x v="0"/>
    <n v="511.74"/>
    <n v="8"/>
    <n v="0.05"/>
    <x v="84"/>
    <n v="121.54"/>
    <d v="2026-05-02T22:01:09"/>
  </r>
  <r>
    <s v="CUST015"/>
    <s v="Robert Anderson"/>
    <s v="South"/>
    <x v="2"/>
    <n v="1054.56"/>
    <n v="11"/>
    <n v="0.1"/>
    <x v="85"/>
    <n v="332.19"/>
    <d v="2026-05-02T22:01:09"/>
  </r>
  <r>
    <s v="CUST015"/>
    <s v="James Wilson"/>
    <s v="North"/>
    <x v="0"/>
    <n v="1681.21"/>
    <n v="5"/>
    <n v="0.2"/>
    <x v="86"/>
    <n v="336.24"/>
    <d v="2026-05-02T22:01:09"/>
  </r>
  <r>
    <s v="CUST015"/>
    <s v="David Thomas"/>
    <s v="West"/>
    <x v="3"/>
    <n v="379.77"/>
    <n v="9"/>
    <n v="0.05"/>
    <x v="87"/>
    <n v="180.39"/>
    <d v="2026-05-02T22:01:09"/>
  </r>
  <r>
    <s v="CUST015"/>
    <s v="Lisa Thomas"/>
    <s v="East"/>
    <x v="1"/>
    <n v="1098.08"/>
    <n v="9"/>
    <n v="0.1"/>
    <x v="88"/>
    <n v="395.31"/>
    <d v="2026-05-02T22:01:09"/>
  </r>
  <r>
    <s v="CUST015"/>
    <s v="Sarah Anderson"/>
    <s v="West"/>
    <x v="4"/>
    <n v="545.44000000000005"/>
    <n v="17"/>
    <n v="0"/>
    <x v="60"/>
    <n v="245.45"/>
    <d v="2026-05-02T22:01:09"/>
  </r>
  <r>
    <s v="CUST016"/>
    <s v="Emma Wilson"/>
    <s v="East"/>
    <x v="1"/>
    <n v="580.42999999999995"/>
    <n v="19"/>
    <n v="0.15"/>
    <x v="89"/>
    <n v="197.35"/>
    <d v="2026-05-02T22:01:09"/>
  </r>
  <r>
    <s v="CUST016"/>
    <s v="Michael Anderson"/>
    <s v="North"/>
    <x v="3"/>
    <n v="990.19"/>
    <n v="8"/>
    <n v="0.1"/>
    <x v="90"/>
    <n v="445.59"/>
    <d v="2026-05-02T22:01:09"/>
  </r>
  <r>
    <s v="CUST016"/>
    <s v="James Taylor"/>
    <s v="South"/>
    <x v="3"/>
    <n v="870.23"/>
    <n v="5"/>
    <n v="0.05"/>
    <x v="91"/>
    <n v="413.36"/>
    <d v="2026-05-02T22:01:09"/>
  </r>
  <r>
    <s v="CUST016"/>
    <s v="David Thomas"/>
    <s v="South"/>
    <x v="3"/>
    <n v="928.32"/>
    <n v="2"/>
    <n v="0.05"/>
    <x v="92"/>
    <n v="440.95"/>
    <d v="2026-05-02T22:01:09"/>
  </r>
  <r>
    <s v="CUST017"/>
    <s v="James Taylor"/>
    <s v="East"/>
    <x v="1"/>
    <n v="713.34"/>
    <n v="17"/>
    <n v="0"/>
    <x v="27"/>
    <n v="285.33999999999997"/>
    <d v="2026-05-02T22:01:09"/>
  </r>
  <r>
    <s v="CUST017"/>
    <s v="Linda Davis"/>
    <s v="Central"/>
    <x v="0"/>
    <n v="856.7"/>
    <n v="2"/>
    <n v="0"/>
    <x v="93"/>
    <n v="214.18"/>
    <d v="2026-05-02T22:01:09"/>
  </r>
  <r>
    <s v="CUST017"/>
    <s v="Sarah Davis"/>
    <s v="West"/>
    <x v="4"/>
    <n v="826.93"/>
    <n v="10"/>
    <n v="0.2"/>
    <x v="18"/>
    <n v="297.69"/>
    <d v="2026-05-02T22:01:09"/>
  </r>
  <r>
    <s v="CUST017"/>
    <s v="Mary Davis"/>
    <s v="Central"/>
    <x v="3"/>
    <n v="1022.23"/>
    <n v="8"/>
    <n v="0.1"/>
    <x v="94"/>
    <n v="460"/>
    <d v="2026-05-02T22:01:09"/>
  </r>
  <r>
    <s v="CUST018"/>
    <s v="Mary Jackson"/>
    <s v="South"/>
    <x v="1"/>
    <n v="966.3"/>
    <n v="2"/>
    <n v="0.15"/>
    <x v="95"/>
    <n v="328.54"/>
    <d v="2026-05-02T22:01:09"/>
  </r>
  <r>
    <s v="CUST018"/>
    <s v="Lisa Thomas"/>
    <s v="South"/>
    <x v="0"/>
    <n v="1061.04"/>
    <n v="1"/>
    <n v="0"/>
    <x v="96"/>
    <n v="265.26"/>
    <d v="2026-05-02T22:01:09"/>
  </r>
  <r>
    <s v="CUST018"/>
    <s v="Lisa Davis"/>
    <s v="North"/>
    <x v="1"/>
    <n v="640.64"/>
    <n v="11"/>
    <n v="0.2"/>
    <x v="97"/>
    <n v="205"/>
    <d v="2026-05-02T22:01:09"/>
  </r>
  <r>
    <s v="CUST018"/>
    <s v="Mary Davis"/>
    <s v="Central"/>
    <x v="3"/>
    <n v="826.97"/>
    <n v="18"/>
    <n v="0.2"/>
    <x v="98"/>
    <n v="330.79"/>
    <d v="2026-05-02T22:01:09"/>
  </r>
  <r>
    <s v="CUST018"/>
    <s v="David Anderson"/>
    <s v="Central"/>
    <x v="3"/>
    <n v="1456.94"/>
    <n v="14"/>
    <n v="0.05"/>
    <x v="51"/>
    <n v="692.05"/>
    <d v="2026-05-02T22:01:09"/>
  </r>
  <r>
    <s v="CUST019"/>
    <s v="James Davis"/>
    <s v="West"/>
    <x v="1"/>
    <n v="1036.0899999999999"/>
    <n v="4"/>
    <n v="0.2"/>
    <x v="99"/>
    <n v="331.55"/>
    <d v="2026-05-02T22:01:09"/>
  </r>
  <r>
    <s v="CUST019"/>
    <s v="Mary Davis"/>
    <s v="West"/>
    <x v="1"/>
    <n v="743.17"/>
    <n v="9"/>
    <n v="0"/>
    <x v="100"/>
    <n v="297.27"/>
    <d v="2026-05-02T22:01:09"/>
  </r>
  <r>
    <s v="CUST019"/>
    <s v="David Brown"/>
    <s v="East"/>
    <x v="4"/>
    <n v="840.92"/>
    <n v="9"/>
    <n v="0.05"/>
    <x v="66"/>
    <n v="359.49"/>
    <d v="2026-05-02T22:01:09"/>
  </r>
  <r>
    <s v="CUST019"/>
    <s v="Linda Jackson"/>
    <s v="Central"/>
    <x v="3"/>
    <n v="1301.8900000000001"/>
    <n v="7"/>
    <n v="0.15"/>
    <x v="101"/>
    <n v="553.29999999999995"/>
    <d v="2026-05-02T22:01:09"/>
  </r>
  <r>
    <s v="CUST019"/>
    <s v="James Taylor"/>
    <s v="South"/>
    <x v="0"/>
    <n v="718.04"/>
    <n v="14"/>
    <n v="0"/>
    <x v="23"/>
    <n v="179.51"/>
    <d v="2026-05-02T22:01:09"/>
  </r>
  <r>
    <s v="CUST020"/>
    <s v="David Brown"/>
    <s v="West"/>
    <x v="2"/>
    <n v="1371.34"/>
    <n v="5"/>
    <n v="0.05"/>
    <x v="8"/>
    <n v="455.97"/>
    <d v="2026-05-02T22:01:09"/>
  </r>
  <r>
    <s v="CUST020"/>
    <s v="Linda Moore"/>
    <s v="South"/>
    <x v="4"/>
    <n v="981.2"/>
    <n v="19"/>
    <n v="0"/>
    <x v="102"/>
    <n v="441.54"/>
    <d v="2026-05-02T22:01:09"/>
  </r>
  <r>
    <s v="CUST020"/>
    <s v="Linda Jackson"/>
    <s v="East"/>
    <x v="2"/>
    <n v="1143.69"/>
    <n v="17"/>
    <n v="0"/>
    <x v="39"/>
    <n v="400.29"/>
    <d v="2026-05-02T22:01:09"/>
  </r>
  <r>
    <s v="CUST020"/>
    <s v="James Taylor"/>
    <s v="South"/>
    <x v="1"/>
    <n v="917.48"/>
    <n v="6"/>
    <n v="0"/>
    <x v="103"/>
    <n v="366.99"/>
    <d v="2026-05-02T22:01:09"/>
  </r>
  <r>
    <s v="CUST021"/>
    <s v="Sarah Anderson"/>
    <s v="South"/>
    <x v="0"/>
    <n v="967.89"/>
    <n v="10"/>
    <n v="0.1"/>
    <x v="66"/>
    <n v="217.78"/>
    <d v="2026-05-02T22:01:09"/>
  </r>
  <r>
    <s v="CUST021"/>
    <s v="James Wilson"/>
    <s v="Central"/>
    <x v="1"/>
    <n v="840.85"/>
    <n v="19"/>
    <n v="0.1"/>
    <x v="104"/>
    <n v="302.70999999999998"/>
    <d v="2026-05-02T22:01:09"/>
  </r>
  <r>
    <s v="CUST021"/>
    <s v="Michael Anderson"/>
    <s v="East"/>
    <x v="2"/>
    <n v="1186.8499999999999"/>
    <n v="19"/>
    <n v="0.2"/>
    <x v="105"/>
    <n v="332.32"/>
    <d v="2026-05-02T22:01:09"/>
  </r>
  <r>
    <s v="CUST021"/>
    <s v="Mary Davis"/>
    <s v="East"/>
    <x v="1"/>
    <n v="1383.3"/>
    <n v="8"/>
    <n v="0.1"/>
    <x v="106"/>
    <n v="497.99"/>
    <d v="2026-05-02T22:01:09"/>
  </r>
  <r>
    <s v="CUST021"/>
    <s v="Mary Jackson"/>
    <s v="North"/>
    <x v="0"/>
    <n v="1020.26"/>
    <n v="11"/>
    <n v="0.05"/>
    <x v="107"/>
    <n v="242.31"/>
    <d v="2026-05-02T22:01:09"/>
  </r>
  <r>
    <s v="CUST021"/>
    <s v="James Wilson"/>
    <s v="North"/>
    <x v="3"/>
    <n v="1205.82"/>
    <n v="11"/>
    <n v="0.1"/>
    <x v="108"/>
    <n v="542.62"/>
    <d v="2026-05-02T22:01:09"/>
  </r>
  <r>
    <s v="CUST021"/>
    <s v="Emma Davis"/>
    <s v="Central"/>
    <x v="1"/>
    <n v="1150.28"/>
    <n v="8"/>
    <n v="0.05"/>
    <x v="78"/>
    <n v="437.11"/>
    <d v="2026-05-02T22:01:09"/>
  </r>
  <r>
    <s v="CUST021"/>
    <s v="David Brown"/>
    <s v="West"/>
    <x v="2"/>
    <n v="984.93"/>
    <n v="14"/>
    <n v="0.2"/>
    <x v="109"/>
    <n v="275.77999999999997"/>
    <d v="2026-05-02T22:01:09"/>
  </r>
  <r>
    <s v="CUST022"/>
    <s v="Robert Anderson"/>
    <s v="North"/>
    <x v="0"/>
    <n v="388.56"/>
    <n v="14"/>
    <n v="0.15"/>
    <x v="100"/>
    <n v="82.57"/>
    <d v="2026-05-02T22:01:09"/>
  </r>
  <r>
    <s v="CUST022"/>
    <s v="David Davis"/>
    <s v="Central"/>
    <x v="1"/>
    <n v="1023.21"/>
    <n v="18"/>
    <n v="0.05"/>
    <x v="2"/>
    <n v="388.82"/>
    <d v="2026-05-02T22:01:09"/>
  </r>
  <r>
    <s v="CUST022"/>
    <s v="Linda Brown"/>
    <s v="South"/>
    <x v="1"/>
    <n v="1264.49"/>
    <n v="16"/>
    <n v="0.05"/>
    <x v="110"/>
    <n v="480.51"/>
    <d v="2026-05-02T22:01:09"/>
  </r>
  <r>
    <s v="CUST022"/>
    <s v="Lisa Thomas"/>
    <s v="Central"/>
    <x v="4"/>
    <n v="388.23"/>
    <n v="16"/>
    <n v="0.05"/>
    <x v="111"/>
    <n v="165.97"/>
    <d v="2026-05-02T22:01:09"/>
  </r>
  <r>
    <s v="CUST022"/>
    <s v="James Wilson"/>
    <s v="West"/>
    <x v="1"/>
    <n v="1353.79"/>
    <n v="14"/>
    <n v="0.1"/>
    <x v="112"/>
    <n v="487.36"/>
    <d v="2026-05-02T22:01:09"/>
  </r>
  <r>
    <s v="CUST023"/>
    <s v="Robert Anderson"/>
    <s v="West"/>
    <x v="2"/>
    <n v="822.28"/>
    <n v="7"/>
    <n v="0.05"/>
    <x v="35"/>
    <n v="273.41000000000003"/>
    <d v="2026-05-02T22:01:09"/>
  </r>
  <r>
    <s v="CUST023"/>
    <s v="Mary Davis"/>
    <s v="Central"/>
    <x v="0"/>
    <n v="706.37"/>
    <n v="6"/>
    <n v="0"/>
    <x v="100"/>
    <n v="176.59"/>
    <d v="2026-05-02T22:01:09"/>
  </r>
  <r>
    <s v="CUST023"/>
    <s v="David Davis"/>
    <s v="East"/>
    <x v="4"/>
    <n v="556.41999999999996"/>
    <n v="11"/>
    <n v="0.15"/>
    <x v="113"/>
    <n v="212.83"/>
    <d v="2026-05-02T22:01:09"/>
  </r>
  <r>
    <s v="CUST023"/>
    <s v="David Brown"/>
    <s v="East"/>
    <x v="2"/>
    <n v="873.7"/>
    <n v="9"/>
    <n v="0"/>
    <x v="114"/>
    <n v="305.8"/>
    <d v="2026-05-02T22:01:09"/>
  </r>
  <r>
    <s v="CUST023"/>
    <s v="James Wilson"/>
    <s v="East"/>
    <x v="4"/>
    <n v="1154.33"/>
    <n v="11"/>
    <n v="0.15"/>
    <x v="110"/>
    <n v="441.53"/>
    <d v="2026-05-02T22:01:09"/>
  </r>
  <r>
    <s v="CUST023"/>
    <s v="James Taylor"/>
    <s v="South"/>
    <x v="3"/>
    <n v="1118.3399999999999"/>
    <n v="6"/>
    <n v="0.2"/>
    <x v="50"/>
    <n v="447.34"/>
    <d v="2026-05-02T22:01:09"/>
  </r>
  <r>
    <s v="CUST023"/>
    <s v="Mary Wilson"/>
    <s v="South"/>
    <x v="3"/>
    <n v="682.24"/>
    <n v="1"/>
    <n v="0"/>
    <x v="115"/>
    <n v="341.12"/>
    <d v="2026-05-02T22:01:09"/>
  </r>
  <r>
    <s v="CUST024"/>
    <s v="David Brown"/>
    <s v="East"/>
    <x v="0"/>
    <n v="539.77"/>
    <n v="10"/>
    <n v="0.15"/>
    <x v="67"/>
    <n v="114.7"/>
    <d v="2026-05-02T22:01:09"/>
  </r>
  <r>
    <s v="CUST024"/>
    <s v="Emma Davis"/>
    <s v="West"/>
    <x v="0"/>
    <n v="1526.6"/>
    <n v="13"/>
    <n v="0.2"/>
    <x v="116"/>
    <n v="305.32"/>
    <d v="2026-05-02T22:01:09"/>
  </r>
  <r>
    <s v="CUST024"/>
    <s v="Emma Taylor"/>
    <s v="East"/>
    <x v="1"/>
    <n v="980.18"/>
    <n v="16"/>
    <n v="0.1"/>
    <x v="117"/>
    <n v="352.86"/>
    <d v="2026-05-02T22:01:09"/>
  </r>
  <r>
    <s v="CUST024"/>
    <s v="James Wilson"/>
    <s v="North"/>
    <x v="0"/>
    <n v="706.73"/>
    <n v="1"/>
    <n v="0.15"/>
    <x v="23"/>
    <n v="150.18"/>
    <d v="2026-05-02T22:01:09"/>
  </r>
  <r>
    <s v="CUST024"/>
    <s v="Linda Taylor"/>
    <s v="North"/>
    <x v="3"/>
    <n v="1622.62"/>
    <n v="12"/>
    <n v="0.2"/>
    <x v="118"/>
    <n v="649.04999999999995"/>
    <d v="2026-05-02T22:01:09"/>
  </r>
  <r>
    <s v="CUST024"/>
    <s v="Linda Wilson"/>
    <s v="Central"/>
    <x v="3"/>
    <n v="741.88"/>
    <n v="16"/>
    <n v="0.1"/>
    <x v="119"/>
    <n v="333.85"/>
    <d v="2026-05-02T22:01:09"/>
  </r>
  <r>
    <s v="CUST024"/>
    <s v="David Thomas"/>
    <s v="Central"/>
    <x v="3"/>
    <n v="1465.35"/>
    <n v="8"/>
    <n v="0.2"/>
    <x v="80"/>
    <n v="586.14"/>
    <d v="2026-05-02T22:01:09"/>
  </r>
  <r>
    <s v="CUST025"/>
    <s v="David Brown"/>
    <s v="North"/>
    <x v="0"/>
    <n v="1450.71"/>
    <n v="5"/>
    <n v="0.1"/>
    <x v="120"/>
    <n v="326.41000000000003"/>
    <d v="2026-05-02T22:01:09"/>
  </r>
  <r>
    <s v="CUST025"/>
    <s v="David Davis"/>
    <s v="Central"/>
    <x v="4"/>
    <n v="1225.42"/>
    <n v="8"/>
    <n v="0.15"/>
    <x v="93"/>
    <n v="468.72"/>
    <d v="2026-05-02T22:01:09"/>
  </r>
  <r>
    <s v="CUST025"/>
    <s v="Mary Jackson"/>
    <s v="East"/>
    <x v="2"/>
    <n v="1286.54"/>
    <n v="8"/>
    <n v="0"/>
    <x v="121"/>
    <n v="450.29"/>
    <d v="2026-05-02T22:01:09"/>
  </r>
  <r>
    <s v="CUST025"/>
    <s v="Emma Taylor"/>
    <s v="Central"/>
    <x v="3"/>
    <n v="728.71"/>
    <n v="14"/>
    <n v="0.1"/>
    <x v="101"/>
    <n v="327.92"/>
    <d v="2026-05-02T22:01:09"/>
  </r>
  <r>
    <s v="CUST025"/>
    <s v="Lisa Davis"/>
    <s v="East"/>
    <x v="1"/>
    <n v="1010.58"/>
    <n v="2"/>
    <n v="0.15"/>
    <x v="122"/>
    <n v="343.6"/>
    <d v="2026-05-02T22:01:09"/>
  </r>
  <r>
    <s v="CUST025"/>
    <s v="Lisa Thomas"/>
    <s v="East"/>
    <x v="4"/>
    <n v="1014.56"/>
    <n v="10"/>
    <n v="0.1"/>
    <x v="123"/>
    <n v="410.9"/>
    <d v="2026-05-02T22:01:09"/>
  </r>
  <r>
    <s v="CUST026"/>
    <s v="Mary Davis"/>
    <s v="East"/>
    <x v="2"/>
    <n v="1074.47"/>
    <n v="6"/>
    <n v="0.2"/>
    <x v="52"/>
    <n v="300.85000000000002"/>
    <d v="2026-05-02T22:01:09"/>
  </r>
  <r>
    <s v="CUST026"/>
    <s v="Mary Davis"/>
    <s v="Central"/>
    <x v="0"/>
    <n v="645.02"/>
    <n v="4"/>
    <n v="0"/>
    <x v="124"/>
    <n v="161.26"/>
    <d v="2026-05-02T22:01:09"/>
  </r>
  <r>
    <s v="CUST026"/>
    <s v="Emma Wilson"/>
    <s v="North"/>
    <x v="2"/>
    <n v="1227.25"/>
    <n v="12"/>
    <n v="0.15"/>
    <x v="104"/>
    <n v="365.11"/>
    <d v="2026-05-02T22:01:09"/>
  </r>
  <r>
    <s v="CUST026"/>
    <s v="Mary Davis"/>
    <s v="East"/>
    <x v="2"/>
    <n v="933.71"/>
    <n v="17"/>
    <n v="0.1"/>
    <x v="14"/>
    <n v="294.12"/>
    <d v="2026-05-02T22:01:09"/>
  </r>
  <r>
    <s v="CUST026"/>
    <s v="Linda Wilson"/>
    <s v="West"/>
    <x v="4"/>
    <n v="1111.3399999999999"/>
    <n v="1"/>
    <n v="0"/>
    <x v="125"/>
    <n v="500.1"/>
    <d v="2026-05-02T22:01:09"/>
  </r>
  <r>
    <s v="CUST026"/>
    <s v="Mary Wilson"/>
    <s v="North"/>
    <x v="2"/>
    <n v="957.29"/>
    <n v="4"/>
    <n v="0.05"/>
    <x v="122"/>
    <n v="318.3"/>
    <d v="2026-05-02T22:01:09"/>
  </r>
  <r>
    <s v="CUST026"/>
    <s v="Emma Taylor"/>
    <s v="East"/>
    <x v="1"/>
    <n v="1231.26"/>
    <n v="9"/>
    <n v="0"/>
    <x v="126"/>
    <n v="492.5"/>
    <d v="2026-05-02T22:01:09"/>
  </r>
  <r>
    <s v="CUST026"/>
    <s v="Sarah Anderson"/>
    <s v="West"/>
    <x v="0"/>
    <n v="1161.67"/>
    <n v="19"/>
    <n v="0.2"/>
    <x v="127"/>
    <n v="232.33"/>
    <d v="2026-05-02T22:01:09"/>
  </r>
  <r>
    <s v="CUST026"/>
    <s v="David Brown"/>
    <s v="West"/>
    <x v="0"/>
    <n v="1029.8"/>
    <n v="3"/>
    <n v="0"/>
    <x v="128"/>
    <n v="257.45"/>
    <d v="2026-05-02T22:01:09"/>
  </r>
  <r>
    <s v="CUST027"/>
    <s v="Emma Davis"/>
    <s v="East"/>
    <x v="4"/>
    <n v="875.41"/>
    <n v="13"/>
    <n v="0.15"/>
    <x v="72"/>
    <n v="334.84"/>
    <d v="2026-05-02T22:01:09"/>
  </r>
  <r>
    <s v="CUST027"/>
    <s v="Emma Davis"/>
    <s v="North"/>
    <x v="1"/>
    <n v="585.97"/>
    <n v="17"/>
    <n v="0.1"/>
    <x v="90"/>
    <n v="210.95"/>
    <d v="2026-05-02T22:01:09"/>
  </r>
  <r>
    <s v="CUST027"/>
    <s v="James Wilson"/>
    <s v="West"/>
    <x v="3"/>
    <n v="697.57"/>
    <n v="17"/>
    <n v="0.1"/>
    <x v="34"/>
    <n v="313.91000000000003"/>
    <d v="2026-05-02T22:01:09"/>
  </r>
  <r>
    <s v="CUST027"/>
    <s v="James Wilson"/>
    <s v="West"/>
    <x v="0"/>
    <n v="258.51"/>
    <n v="19"/>
    <n v="0"/>
    <x v="62"/>
    <n v="64.63"/>
    <d v="2026-05-02T22:01:09"/>
  </r>
  <r>
    <s v="CUST027"/>
    <s v="Linda Wilson"/>
    <s v="Central"/>
    <x v="0"/>
    <n v="1488.58"/>
    <n v="10"/>
    <n v="0.15"/>
    <x v="5"/>
    <n v="316.32"/>
    <d v="2026-05-02T22:01:09"/>
  </r>
  <r>
    <s v="CUST028"/>
    <s v="Linda Taylor"/>
    <s v="East"/>
    <x v="4"/>
    <n v="983.34"/>
    <n v="19"/>
    <n v="0.1"/>
    <x v="129"/>
    <n v="398.25"/>
    <d v="2026-05-02T22:01:09"/>
  </r>
  <r>
    <s v="CUST028"/>
    <s v="James Wilson"/>
    <s v="South"/>
    <x v="0"/>
    <n v="801.21"/>
    <n v="3"/>
    <n v="0.2"/>
    <x v="129"/>
    <n v="160.24"/>
    <d v="2026-05-02T22:01:09"/>
  </r>
  <r>
    <s v="CUST028"/>
    <s v="Lisa Davis"/>
    <s v="Central"/>
    <x v="2"/>
    <n v="1410.06"/>
    <n v="11"/>
    <n v="0.05"/>
    <x v="44"/>
    <n v="468.84"/>
    <d v="2026-05-02T22:01:09"/>
  </r>
  <r>
    <s v="CUST028"/>
    <s v="James Wilson"/>
    <s v="Central"/>
    <x v="4"/>
    <n v="1025.98"/>
    <n v="5"/>
    <n v="0.2"/>
    <x v="113"/>
    <n v="369.35"/>
    <d v="2026-05-02T22:01:09"/>
  </r>
  <r>
    <s v="CUST028"/>
    <s v="Linda Brown"/>
    <s v="Central"/>
    <x v="0"/>
    <n v="790.08"/>
    <n v="7"/>
    <n v="0.1"/>
    <x v="32"/>
    <n v="177.77"/>
    <d v="2026-05-02T22:01:09"/>
  </r>
  <r>
    <s v="CUST028"/>
    <s v="Linda Brown"/>
    <s v="South"/>
    <x v="3"/>
    <n v="1163.01"/>
    <n v="5"/>
    <n v="0"/>
    <x v="130"/>
    <n v="581.5"/>
    <d v="2026-05-02T22:01:09"/>
  </r>
  <r>
    <s v="CUST028"/>
    <s v="Lisa Davis"/>
    <s v="North"/>
    <x v="4"/>
    <n v="309.42"/>
    <n v="1"/>
    <n v="0.2"/>
    <x v="63"/>
    <n v="111.39"/>
    <d v="2026-05-02T22:01:09"/>
  </r>
  <r>
    <s v="CUST028"/>
    <s v="James Wilson"/>
    <s v="Central"/>
    <x v="4"/>
    <n v="745.05"/>
    <n v="10"/>
    <n v="0.1"/>
    <x v="91"/>
    <n v="301.75"/>
    <d v="2026-05-02T22:01:09"/>
  </r>
  <r>
    <s v="CUST028"/>
    <s v="James Wilson"/>
    <s v="West"/>
    <x v="0"/>
    <n v="1115.22"/>
    <n v="14"/>
    <n v="0.2"/>
    <x v="131"/>
    <n v="223.04"/>
    <d v="2026-05-02T22:01:09"/>
  </r>
  <r>
    <s v="CUST028"/>
    <s v="Sarah Davis"/>
    <s v="North"/>
    <x v="1"/>
    <n v="710.52"/>
    <n v="8"/>
    <n v="0.1"/>
    <x v="132"/>
    <n v="255.79"/>
    <d v="2026-05-02T22:01:09"/>
  </r>
  <r>
    <s v="CUST028"/>
    <s v="Mary Wilson"/>
    <s v="North"/>
    <x v="1"/>
    <n v="499.18"/>
    <n v="15"/>
    <n v="0.2"/>
    <x v="133"/>
    <n v="159.74"/>
    <d v="2026-05-02T22:01:09"/>
  </r>
  <r>
    <s v="CUST028"/>
    <s v="Robert Anderson"/>
    <s v="South"/>
    <x v="4"/>
    <n v="740.8"/>
    <n v="3"/>
    <n v="0"/>
    <x v="134"/>
    <n v="333.36"/>
    <d v="2026-05-02T22:01:09"/>
  </r>
  <r>
    <s v="CUST029"/>
    <s v="David Smith"/>
    <s v="North"/>
    <x v="2"/>
    <n v="521.66999999999996"/>
    <n v="15"/>
    <n v="0.15"/>
    <x v="135"/>
    <n v="155.19999999999999"/>
    <d v="2026-05-02T22:01:09"/>
  </r>
  <r>
    <s v="CUST029"/>
    <s v="Sarah Davis"/>
    <s v="North"/>
    <x v="0"/>
    <n v="741.61"/>
    <n v="1"/>
    <n v="0.2"/>
    <x v="136"/>
    <n v="148.32"/>
    <d v="2026-05-02T22:01:09"/>
  </r>
  <r>
    <s v="CUST029"/>
    <s v="Emma Wilson"/>
    <s v="South"/>
    <x v="0"/>
    <n v="1100.0999999999999"/>
    <n v="5"/>
    <n v="0.05"/>
    <x v="137"/>
    <n v="261.27"/>
    <d v="2026-05-02T22:01:09"/>
  </r>
  <r>
    <s v="CUST029"/>
    <s v="Emma Wilson"/>
    <s v="West"/>
    <x v="2"/>
    <n v="1172.97"/>
    <n v="7"/>
    <n v="0.15"/>
    <x v="108"/>
    <n v="348.96"/>
    <d v="2026-05-02T22:01:09"/>
  </r>
  <r>
    <s v="CUST029"/>
    <s v="Lisa Thomas"/>
    <s v="East"/>
    <x v="0"/>
    <n v="919.18"/>
    <n v="4"/>
    <n v="0.15"/>
    <x v="9"/>
    <n v="195.33"/>
    <d v="2026-05-02T22:01:09"/>
  </r>
  <r>
    <s v="CUST029"/>
    <s v="David Brown"/>
    <s v="West"/>
    <x v="3"/>
    <n v="864.98"/>
    <n v="2"/>
    <n v="0.05"/>
    <x v="138"/>
    <n v="410.87"/>
    <d v="2026-05-02T22:01:09"/>
  </r>
  <r>
    <s v="CUST029"/>
    <s v="Michael Anderson"/>
    <s v="North"/>
    <x v="0"/>
    <n v="458.54"/>
    <n v="15"/>
    <n v="0.2"/>
    <x v="139"/>
    <n v="91.71"/>
    <d v="2026-05-02T22:01:09"/>
  </r>
  <r>
    <s v="CUST030"/>
    <s v="James Wilson"/>
    <s v="North"/>
    <x v="1"/>
    <n v="847"/>
    <n v="12"/>
    <n v="0.2"/>
    <x v="140"/>
    <n v="271.04000000000002"/>
    <d v="2026-05-02T22:01:09"/>
  </r>
  <r>
    <s v="CUST030"/>
    <s v="John Brown"/>
    <s v="North"/>
    <x v="2"/>
    <n v="675.54"/>
    <n v="17"/>
    <n v="0"/>
    <x v="141"/>
    <n v="236.44"/>
    <d v="2026-05-02T22:01:09"/>
  </r>
  <r>
    <s v="CUST030"/>
    <s v="Sarah Davis"/>
    <s v="South"/>
    <x v="2"/>
    <n v="1086.93"/>
    <n v="2"/>
    <n v="0"/>
    <x v="142"/>
    <n v="380.43"/>
    <d v="2026-05-02T22:01:09"/>
  </r>
  <r>
    <s v="CUST030"/>
    <s v="Emma Taylor"/>
    <s v="Central"/>
    <x v="1"/>
    <n v="973.26"/>
    <n v="11"/>
    <n v="0"/>
    <x v="143"/>
    <n v="389.3"/>
    <d v="2026-05-02T22:01:09"/>
  </r>
  <r>
    <s v="CUST030"/>
    <s v="David Brown"/>
    <s v="Central"/>
    <x v="0"/>
    <n v="608.66"/>
    <n v="1"/>
    <n v="0.05"/>
    <x v="144"/>
    <n v="144.56"/>
    <d v="2026-05-02T22:01:09"/>
  </r>
  <r>
    <s v="CUST030"/>
    <s v="Mary Davis"/>
    <s v="East"/>
    <x v="3"/>
    <n v="1291.47"/>
    <n v="18"/>
    <n v="0.1"/>
    <x v="145"/>
    <n v="581.16"/>
    <d v="2026-05-02T22:01:09"/>
  </r>
  <r>
    <s v="CUST030"/>
    <s v="Sarah Anderson"/>
    <s v="West"/>
    <x v="3"/>
    <n v="585.16"/>
    <n v="17"/>
    <n v="0.1"/>
    <x v="146"/>
    <n v="263.32"/>
    <d v="2026-05-02T22:01:09"/>
  </r>
  <r>
    <s v="CUST030"/>
    <s v="Mary Davis"/>
    <s v="East"/>
    <x v="3"/>
    <n v="1109.98"/>
    <n v="5"/>
    <n v="0.2"/>
    <x v="147"/>
    <n v="443.99"/>
    <d v="2026-05-02T22:01:09"/>
  </r>
  <r>
    <s v="CUST030"/>
    <s v="Linda Taylor"/>
    <s v="North"/>
    <x v="1"/>
    <n v="750.71"/>
    <n v="10"/>
    <n v="0.15"/>
    <x v="43"/>
    <n v="255.24"/>
    <d v="2026-05-02T22:01:0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01"/>
    <s v="Linda Wilson"/>
    <x v="0"/>
    <s v="Electronics"/>
    <n v="1317.53"/>
    <n v="12"/>
    <n v="0.05"/>
    <x v="0"/>
    <n v="312.91000000000003"/>
    <d v="2026-05-04T11:44:24"/>
  </r>
  <r>
    <s v="CUST001"/>
    <s v="Lisa Thomas"/>
    <x v="0"/>
    <s v="Books"/>
    <n v="636.70000000000005"/>
    <n v="4"/>
    <n v="0.2"/>
    <x v="1"/>
    <n v="203.74"/>
    <d v="2026-05-04T11:44:24"/>
  </r>
  <r>
    <s v="CUST001"/>
    <s v="Mary Jackson"/>
    <x v="0"/>
    <s v="Furniture"/>
    <n v="853.72"/>
    <n v="5"/>
    <n v="0.15"/>
    <x v="2"/>
    <n v="253.98"/>
    <d v="2026-05-04T11:44:24"/>
  </r>
  <r>
    <s v="CUST001"/>
    <s v="Lisa Thomas"/>
    <x v="1"/>
    <s v="Furniture"/>
    <n v="1077.92"/>
    <n v="3"/>
    <n v="0.05"/>
    <x v="3"/>
    <n v="358.41"/>
    <d v="2026-05-04T11:44:24"/>
  </r>
  <r>
    <s v="CUST001"/>
    <s v="Sarah Anderson"/>
    <x v="0"/>
    <s v="Electronics"/>
    <n v="894.55"/>
    <n v="19"/>
    <n v="0.2"/>
    <x v="4"/>
    <n v="178.91"/>
    <d v="2026-05-04T11:44:24"/>
  </r>
  <r>
    <s v="CUST001"/>
    <s v="Michael Anderson"/>
    <x v="2"/>
    <s v="Furniture"/>
    <n v="1432.47"/>
    <n v="16"/>
    <n v="0.15"/>
    <x v="5"/>
    <n v="426.16"/>
    <d v="2026-05-04T11:44:24"/>
  </r>
  <r>
    <s v="CUST001"/>
    <s v="David Anderson"/>
    <x v="1"/>
    <s v="Clothing"/>
    <n v="336.66"/>
    <n v="13"/>
    <n v="0.2"/>
    <x v="6"/>
    <n v="134.66"/>
    <d v="2026-05-04T11:44:24"/>
  </r>
  <r>
    <s v="CUST002"/>
    <s v="Lisa Davis"/>
    <x v="0"/>
    <s v="Books"/>
    <n v="942.9"/>
    <n v="18"/>
    <n v="0.1"/>
    <x v="7"/>
    <n v="339.44"/>
    <d v="2026-05-04T11:44:24"/>
  </r>
  <r>
    <s v="CUST002"/>
    <s v="Mary Davis"/>
    <x v="3"/>
    <s v="Books"/>
    <n v="876.44"/>
    <n v="12"/>
    <n v="0.05"/>
    <x v="8"/>
    <n v="333.05"/>
    <d v="2026-05-04T11:44:24"/>
  </r>
  <r>
    <s v="CUST002"/>
    <s v="Linda Brown"/>
    <x v="4"/>
    <s v="Electronics"/>
    <n v="1410.59"/>
    <n v="15"/>
    <n v="0"/>
    <x v="9"/>
    <n v="352.65"/>
    <d v="2026-05-04T11:44:24"/>
  </r>
  <r>
    <s v="CUST002"/>
    <s v="Emma Wilson"/>
    <x v="3"/>
    <s v="Furniture"/>
    <n v="806.03"/>
    <n v="19"/>
    <n v="0.05"/>
    <x v="10"/>
    <n v="268"/>
    <d v="2026-05-04T11:44:24"/>
  </r>
  <r>
    <s v="CUST002"/>
    <s v="Lisa Davis"/>
    <x v="0"/>
    <s v="Office Supplies"/>
    <n v="827.25"/>
    <n v="7"/>
    <n v="0.1"/>
    <x v="11"/>
    <n v="335.04"/>
    <d v="2026-05-04T11:44:24"/>
  </r>
  <r>
    <s v="CUST002"/>
    <s v="Mary Jackson"/>
    <x v="2"/>
    <s v="Office Supplies"/>
    <n v="1618.22"/>
    <n v="12"/>
    <n v="0.2"/>
    <x v="12"/>
    <n v="582.55999999999995"/>
    <d v="2026-05-04T11:44:24"/>
  </r>
  <r>
    <s v="CUST003"/>
    <s v="Emma Davis"/>
    <x v="1"/>
    <s v="Books"/>
    <n v="1248.82"/>
    <n v="2"/>
    <n v="0.1"/>
    <x v="13"/>
    <n v="449.58"/>
    <d v="2026-05-04T11:44:24"/>
  </r>
  <r>
    <s v="CUST003"/>
    <s v="James Davis"/>
    <x v="0"/>
    <s v="Electronics"/>
    <n v="1005.53"/>
    <n v="17"/>
    <n v="0.2"/>
    <x v="14"/>
    <n v="201.11"/>
    <d v="2026-05-04T11:44:24"/>
  </r>
  <r>
    <s v="CUST003"/>
    <s v="James Wilson"/>
    <x v="1"/>
    <s v="Furniture"/>
    <n v="1034.7"/>
    <n v="15"/>
    <n v="0.15"/>
    <x v="15"/>
    <n v="307.82"/>
    <d v="2026-05-04T11:44:24"/>
  </r>
  <r>
    <s v="CUST003"/>
    <s v="James Davis"/>
    <x v="3"/>
    <s v="Electronics"/>
    <n v="1335.87"/>
    <n v="17"/>
    <n v="0"/>
    <x v="16"/>
    <n v="333.97"/>
    <d v="2026-05-04T11:44:24"/>
  </r>
  <r>
    <s v="CUST003"/>
    <s v="James Wilson"/>
    <x v="0"/>
    <s v="Electronics"/>
    <n v="1158.94"/>
    <n v="19"/>
    <n v="0.2"/>
    <x v="17"/>
    <n v="231.79"/>
    <d v="2026-05-04T11:44:24"/>
  </r>
  <r>
    <s v="CUST003"/>
    <s v="James Wilson"/>
    <x v="2"/>
    <s v="Clothing"/>
    <n v="902.19"/>
    <n v="12"/>
    <n v="0"/>
    <x v="18"/>
    <n v="451.1"/>
    <d v="2026-05-04T11:44:24"/>
  </r>
  <r>
    <s v="CUST003"/>
    <s v="Linda Moore"/>
    <x v="1"/>
    <s v="Clothing"/>
    <n v="661.09"/>
    <n v="1"/>
    <n v="0.2"/>
    <x v="19"/>
    <n v="264.44"/>
    <d v="2026-05-04T11:44:24"/>
  </r>
  <r>
    <s v="CUST003"/>
    <s v="Sarah Anderson"/>
    <x v="3"/>
    <s v="Books"/>
    <n v="704.28"/>
    <n v="15"/>
    <n v="0.2"/>
    <x v="12"/>
    <n v="225.37"/>
    <d v="2026-05-04T11:44:24"/>
  </r>
  <r>
    <s v="CUST003"/>
    <s v="Emma Davis"/>
    <x v="4"/>
    <s v="Office Supplies"/>
    <n v="438.76"/>
    <n v="18"/>
    <n v="0.05"/>
    <x v="20"/>
    <n v="187.57"/>
    <d v="2026-05-04T11:44:24"/>
  </r>
  <r>
    <s v="CUST004"/>
    <s v="Lisa Thomas"/>
    <x v="1"/>
    <s v="Furniture"/>
    <n v="518.07000000000005"/>
    <n v="7"/>
    <n v="0.05"/>
    <x v="21"/>
    <n v="172.26"/>
    <d v="2026-05-04T11:44:24"/>
  </r>
  <r>
    <s v="CUST004"/>
    <s v="Sarah Davis"/>
    <x v="0"/>
    <s v="Office Supplies"/>
    <n v="1443.98"/>
    <n v="19"/>
    <n v="0"/>
    <x v="22"/>
    <n v="649.79"/>
    <d v="2026-05-04T11:44:24"/>
  </r>
  <r>
    <s v="CUST004"/>
    <s v="James Taylor"/>
    <x v="2"/>
    <s v="Clothing"/>
    <n v="1277.8499999999999"/>
    <n v="18"/>
    <n v="0.2"/>
    <x v="23"/>
    <n v="511.14"/>
    <d v="2026-05-04T11:44:24"/>
  </r>
  <r>
    <s v="CUST004"/>
    <s v="Mary Davis"/>
    <x v="1"/>
    <s v="Clothing"/>
    <n v="1589.42"/>
    <n v="6"/>
    <n v="0.15"/>
    <x v="6"/>
    <n v="675.5"/>
    <d v="2026-05-04T11:44:24"/>
  </r>
  <r>
    <s v="CUST004"/>
    <s v="James Davis"/>
    <x v="4"/>
    <s v="Office Supplies"/>
    <n v="1311.26"/>
    <n v="6"/>
    <n v="0.1"/>
    <x v="24"/>
    <n v="531.05999999999995"/>
    <d v="2026-05-04T11:44:24"/>
  </r>
  <r>
    <s v="CUST004"/>
    <s v="Mary Davis"/>
    <x v="3"/>
    <s v="Office Supplies"/>
    <n v="573.32000000000005"/>
    <n v="19"/>
    <n v="0.1"/>
    <x v="25"/>
    <n v="232.19"/>
    <d v="2026-05-04T11:44:24"/>
  </r>
  <r>
    <s v="CUST004"/>
    <s v="Linda Wilson"/>
    <x v="4"/>
    <s v="Books"/>
    <n v="1099.69"/>
    <n v="6"/>
    <n v="0"/>
    <x v="26"/>
    <n v="439.88"/>
    <d v="2026-05-04T11:44:24"/>
  </r>
  <r>
    <s v="CUST005"/>
    <s v="Robert Anderson"/>
    <x v="3"/>
    <s v="Electronics"/>
    <n v="760.93"/>
    <n v="4"/>
    <n v="0.15"/>
    <x v="27"/>
    <n v="161.69999999999999"/>
    <d v="2026-05-04T11:44:24"/>
  </r>
  <r>
    <s v="CUST005"/>
    <s v="Sarah Anderson"/>
    <x v="3"/>
    <s v="Electronics"/>
    <n v="1502.93"/>
    <n v="14"/>
    <n v="0.2"/>
    <x v="28"/>
    <n v="300.58999999999997"/>
    <d v="2026-05-04T11:44:24"/>
  </r>
  <r>
    <s v="CUST005"/>
    <s v="David Smith"/>
    <x v="3"/>
    <s v="Books"/>
    <n v="1151.21"/>
    <n v="15"/>
    <n v="0.1"/>
    <x v="29"/>
    <n v="414.44"/>
    <d v="2026-05-04T11:44:24"/>
  </r>
  <r>
    <s v="CUST005"/>
    <s v="Robert Anderson"/>
    <x v="3"/>
    <s v="Furniture"/>
    <n v="919.04"/>
    <n v="10"/>
    <n v="0.2"/>
    <x v="30"/>
    <n v="257.33"/>
    <d v="2026-05-04T11:44:24"/>
  </r>
  <r>
    <s v="CUST005"/>
    <s v="Linda Taylor"/>
    <x v="2"/>
    <s v="Furniture"/>
    <n v="1261.3399999999999"/>
    <n v="3"/>
    <n v="0"/>
    <x v="31"/>
    <n v="441.47"/>
    <d v="2026-05-04T11:44:24"/>
  </r>
  <r>
    <s v="CUST005"/>
    <s v="Lisa Davis"/>
    <x v="2"/>
    <s v="Books"/>
    <n v="1070.68"/>
    <n v="7"/>
    <n v="0.05"/>
    <x v="32"/>
    <n v="406.86"/>
    <d v="2026-05-04T11:44:24"/>
  </r>
  <r>
    <s v="CUST006"/>
    <s v="Mary Jackson"/>
    <x v="0"/>
    <s v="Books"/>
    <n v="1506.14"/>
    <n v="13"/>
    <n v="0.2"/>
    <x v="33"/>
    <n v="481.96"/>
    <d v="2026-05-04T11:44:24"/>
  </r>
  <r>
    <s v="CUST006"/>
    <s v="David Anderson"/>
    <x v="0"/>
    <s v="Furniture"/>
    <n v="1193.6099999999999"/>
    <n v="1"/>
    <n v="0.15"/>
    <x v="34"/>
    <n v="355.1"/>
    <d v="2026-05-04T11:44:24"/>
  </r>
  <r>
    <s v="CUST007"/>
    <s v="Michael Anderson"/>
    <x v="1"/>
    <s v="Furniture"/>
    <n v="965.64"/>
    <n v="8"/>
    <n v="0.1"/>
    <x v="0"/>
    <n v="304.18"/>
    <d v="2026-05-04T11:44:24"/>
  </r>
  <r>
    <s v="CUST007"/>
    <s v="Michael Anderson"/>
    <x v="2"/>
    <s v="Books"/>
    <n v="1191.58"/>
    <n v="14"/>
    <n v="0.05"/>
    <x v="35"/>
    <n v="452.8"/>
    <d v="2026-05-04T11:44:24"/>
  </r>
  <r>
    <s v="CUST007"/>
    <s v="Lisa Davis"/>
    <x v="3"/>
    <s v="Clothing"/>
    <n v="953.3"/>
    <n v="11"/>
    <n v="0"/>
    <x v="36"/>
    <n v="476.65"/>
    <d v="2026-05-04T11:44:24"/>
  </r>
  <r>
    <s v="CUST007"/>
    <s v="Robert Anderson"/>
    <x v="2"/>
    <s v="Books"/>
    <n v="939.09"/>
    <n v="2"/>
    <n v="0.05"/>
    <x v="37"/>
    <n v="356.85"/>
    <d v="2026-05-04T11:44:24"/>
  </r>
  <r>
    <s v="CUST007"/>
    <s v="Linda Jackson"/>
    <x v="3"/>
    <s v="Electronics"/>
    <n v="1021.47"/>
    <n v="6"/>
    <n v="0.05"/>
    <x v="38"/>
    <n v="242.6"/>
    <d v="2026-05-04T11:44:24"/>
  </r>
  <r>
    <s v="CUST007"/>
    <s v="David Brown"/>
    <x v="1"/>
    <s v="Books"/>
    <n v="679.71"/>
    <n v="19"/>
    <n v="0"/>
    <x v="39"/>
    <n v="271.88"/>
    <d v="2026-05-04T11:44:24"/>
  </r>
  <r>
    <s v="CUST007"/>
    <s v="Emma Taylor"/>
    <x v="0"/>
    <s v="Furniture"/>
    <n v="1101.55"/>
    <n v="4"/>
    <n v="0.1"/>
    <x v="40"/>
    <n v="346.99"/>
    <d v="2026-05-04T11:44:24"/>
  </r>
  <r>
    <s v="CUST007"/>
    <s v="Emma Davis"/>
    <x v="1"/>
    <s v="Office Supplies"/>
    <n v="833.91"/>
    <n v="3"/>
    <n v="0.05"/>
    <x v="41"/>
    <n v="356.5"/>
    <d v="2026-05-04T11:44:24"/>
  </r>
  <r>
    <s v="CUST007"/>
    <s v="David Brown"/>
    <x v="0"/>
    <s v="Clothing"/>
    <n v="1493.49"/>
    <n v="18"/>
    <n v="0"/>
    <x v="42"/>
    <n v="746.74"/>
    <d v="2026-05-04T11:44:24"/>
  </r>
  <r>
    <s v="CUST007"/>
    <s v="James Davis"/>
    <x v="3"/>
    <s v="Clothing"/>
    <n v="762.14"/>
    <n v="9"/>
    <n v="0"/>
    <x v="43"/>
    <n v="381.07"/>
    <d v="2026-05-04T11:44:24"/>
  </r>
  <r>
    <s v="CUST008"/>
    <s v="Robert Anderson"/>
    <x v="3"/>
    <s v="Books"/>
    <n v="877.58"/>
    <n v="10"/>
    <n v="0.15"/>
    <x v="1"/>
    <n v="298.38"/>
    <d v="2026-05-04T11:44:24"/>
  </r>
  <r>
    <s v="CUST008"/>
    <s v="Mary Wilson"/>
    <x v="2"/>
    <s v="Furniture"/>
    <n v="773.09"/>
    <n v="13"/>
    <n v="0.15"/>
    <x v="44"/>
    <n v="229.99"/>
    <d v="2026-05-04T11:44:24"/>
  </r>
  <r>
    <s v="CUST008"/>
    <s v="John Brown"/>
    <x v="3"/>
    <s v="Electronics"/>
    <n v="775.45"/>
    <n v="6"/>
    <n v="0.1"/>
    <x v="45"/>
    <n v="174.48"/>
    <d v="2026-05-04T11:44:24"/>
  </r>
  <r>
    <s v="CUST008"/>
    <s v="James Davis"/>
    <x v="2"/>
    <s v="Office Supplies"/>
    <n v="804.81"/>
    <n v="1"/>
    <n v="0.05"/>
    <x v="46"/>
    <n v="344.06"/>
    <d v="2026-05-04T11:44:24"/>
  </r>
  <r>
    <s v="CUST008"/>
    <s v="David Davis"/>
    <x v="2"/>
    <s v="Electronics"/>
    <n v="1014.09"/>
    <n v="13"/>
    <n v="0.2"/>
    <x v="47"/>
    <n v="202.82"/>
    <d v="2026-05-04T11:44:24"/>
  </r>
  <r>
    <s v="CUST008"/>
    <s v="James Wilson"/>
    <x v="4"/>
    <s v="Books"/>
    <n v="1081.1400000000001"/>
    <n v="19"/>
    <n v="0.15"/>
    <x v="48"/>
    <n v="367.59"/>
    <d v="2026-05-04T11:44:24"/>
  </r>
  <r>
    <s v="CUST008"/>
    <s v="James Wilson"/>
    <x v="4"/>
    <s v="Office Supplies"/>
    <n v="1014.22"/>
    <n v="14"/>
    <n v="0.05"/>
    <x v="49"/>
    <n v="433.58"/>
    <d v="2026-05-04T11:44:24"/>
  </r>
  <r>
    <s v="CUST008"/>
    <s v="Lisa Thomas"/>
    <x v="2"/>
    <s v="Clothing"/>
    <n v="1076.33"/>
    <n v="2"/>
    <n v="0.1"/>
    <x v="50"/>
    <n v="484.35"/>
    <d v="2026-05-04T11:44:24"/>
  </r>
  <r>
    <s v="CUST008"/>
    <s v="Mary Davis"/>
    <x v="2"/>
    <s v="Office Supplies"/>
    <n v="1250.71"/>
    <n v="7"/>
    <n v="0"/>
    <x v="50"/>
    <n v="562.82000000000005"/>
    <d v="2026-05-04T11:44:24"/>
  </r>
  <r>
    <s v="CUST008"/>
    <s v="Emma Wilson"/>
    <x v="4"/>
    <s v="Furniture"/>
    <n v="1093.3800000000001"/>
    <n v="17"/>
    <n v="0.1"/>
    <x v="51"/>
    <n v="344.41"/>
    <d v="2026-05-04T11:44:24"/>
  </r>
  <r>
    <s v="CUST009"/>
    <s v="Linda Jackson"/>
    <x v="2"/>
    <s v="Books"/>
    <n v="501.54"/>
    <n v="11"/>
    <n v="0.05"/>
    <x v="52"/>
    <n v="190.59"/>
    <d v="2026-05-04T11:44:24"/>
  </r>
  <r>
    <s v="CUST009"/>
    <s v="Emma Davis"/>
    <x v="1"/>
    <s v="Electronics"/>
    <n v="818.8"/>
    <n v="15"/>
    <n v="0.15"/>
    <x v="30"/>
    <n v="173.99"/>
    <d v="2026-05-04T11:44:24"/>
  </r>
  <r>
    <s v="CUST009"/>
    <s v="Emma Davis"/>
    <x v="3"/>
    <s v="Electronics"/>
    <n v="771.02"/>
    <n v="1"/>
    <n v="0"/>
    <x v="53"/>
    <n v="192.76"/>
    <d v="2026-05-04T11:44:24"/>
  </r>
  <r>
    <s v="CUST009"/>
    <s v="Emma Wilson"/>
    <x v="3"/>
    <s v="Furniture"/>
    <n v="1350.33"/>
    <n v="10"/>
    <n v="0"/>
    <x v="9"/>
    <n v="472.62"/>
    <d v="2026-05-04T11:44:24"/>
  </r>
  <r>
    <s v="CUST009"/>
    <s v="Mary Davis"/>
    <x v="1"/>
    <s v="Books"/>
    <n v="1189.83"/>
    <n v="2"/>
    <n v="0.2"/>
    <x v="54"/>
    <n v="380.75"/>
    <d v="2026-05-04T11:44:24"/>
  </r>
  <r>
    <s v="CUST009"/>
    <s v="Linda Taylor"/>
    <x v="3"/>
    <s v="Clothing"/>
    <n v="689.43"/>
    <n v="9"/>
    <n v="0.1"/>
    <x v="55"/>
    <n v="310.24"/>
    <d v="2026-05-04T11:44:24"/>
  </r>
  <r>
    <s v="CUST009"/>
    <s v="Michael Anderson"/>
    <x v="3"/>
    <s v="Furniture"/>
    <n v="1184.25"/>
    <n v="11"/>
    <n v="0.2"/>
    <x v="56"/>
    <n v="331.59"/>
    <d v="2026-05-04T11:44:24"/>
  </r>
  <r>
    <s v="CUST010"/>
    <s v="David Thomas"/>
    <x v="2"/>
    <s v="Clothing"/>
    <n v="737.31"/>
    <n v="2"/>
    <n v="0.05"/>
    <x v="52"/>
    <n v="350.22"/>
    <d v="2026-05-04T11:44:24"/>
  </r>
  <r>
    <s v="CUST010"/>
    <s v="Linda Brown"/>
    <x v="3"/>
    <s v="Electronics"/>
    <n v="1173.1199999999999"/>
    <n v="18"/>
    <n v="0"/>
    <x v="57"/>
    <n v="293.27999999999997"/>
    <d v="2026-05-04T11:44:24"/>
  </r>
  <r>
    <s v="CUST010"/>
    <s v="David Brown"/>
    <x v="2"/>
    <s v="Office Supplies"/>
    <n v="488.99"/>
    <n v="9"/>
    <n v="0"/>
    <x v="58"/>
    <n v="220.05"/>
    <d v="2026-05-04T11:44:24"/>
  </r>
  <r>
    <s v="CUST010"/>
    <s v="Linda Wilson"/>
    <x v="0"/>
    <s v="Furniture"/>
    <n v="862.19"/>
    <n v="18"/>
    <n v="0.05"/>
    <x v="59"/>
    <n v="286.68"/>
    <d v="2026-05-04T11:44:24"/>
  </r>
  <r>
    <s v="CUST010"/>
    <s v="David Thomas"/>
    <x v="4"/>
    <s v="Books"/>
    <n v="997.61"/>
    <n v="8"/>
    <n v="0.05"/>
    <x v="60"/>
    <n v="379.09"/>
    <d v="2026-05-04T11:44:24"/>
  </r>
  <r>
    <s v="CUST011"/>
    <s v="Mary Davis"/>
    <x v="1"/>
    <s v="Office Supplies"/>
    <n v="1001.57"/>
    <n v="12"/>
    <n v="0"/>
    <x v="61"/>
    <n v="450.71"/>
    <d v="2026-05-04T11:44:24"/>
  </r>
  <r>
    <s v="CUST011"/>
    <s v="Emma Wilson"/>
    <x v="4"/>
    <s v="Books"/>
    <n v="1213.48"/>
    <n v="5"/>
    <n v="0.05"/>
    <x v="62"/>
    <n v="461.12"/>
    <d v="2026-05-04T11:44:24"/>
  </r>
  <r>
    <s v="CUST011"/>
    <s v="Linda Moore"/>
    <x v="2"/>
    <s v="Clothing"/>
    <n v="662.61"/>
    <n v="11"/>
    <n v="0.05"/>
    <x v="63"/>
    <n v="314.74"/>
    <d v="2026-05-04T11:44:24"/>
  </r>
  <r>
    <s v="CUST011"/>
    <s v="Linda Wilson"/>
    <x v="1"/>
    <s v="Books"/>
    <n v="884.63"/>
    <n v="18"/>
    <n v="0.1"/>
    <x v="64"/>
    <n v="318.47000000000003"/>
    <d v="2026-05-04T11:44:24"/>
  </r>
  <r>
    <s v="CUST012"/>
    <s v="Robert Anderson"/>
    <x v="0"/>
    <s v="Clothing"/>
    <n v="1101.28"/>
    <n v="3"/>
    <n v="0.2"/>
    <x v="65"/>
    <n v="440.51"/>
    <d v="2026-05-04T11:44:24"/>
  </r>
  <r>
    <s v="CUST012"/>
    <s v="Mary Davis"/>
    <x v="2"/>
    <s v="Office Supplies"/>
    <n v="925.31"/>
    <n v="8"/>
    <n v="0.1"/>
    <x v="57"/>
    <n v="374.75"/>
    <d v="2026-05-04T11:44:24"/>
  </r>
  <r>
    <s v="CUST012"/>
    <s v="Michael Anderson"/>
    <x v="0"/>
    <s v="Books"/>
    <n v="472.38"/>
    <n v="12"/>
    <n v="0.2"/>
    <x v="66"/>
    <n v="151.16"/>
    <d v="2026-05-04T11:44:24"/>
  </r>
  <r>
    <s v="CUST012"/>
    <s v="Mary Wilson"/>
    <x v="0"/>
    <s v="Clothing"/>
    <n v="1360.36"/>
    <n v="17"/>
    <n v="0"/>
    <x v="13"/>
    <n v="680.18"/>
    <d v="2026-05-04T11:44:24"/>
  </r>
  <r>
    <s v="CUST012"/>
    <s v="David Anderson"/>
    <x v="3"/>
    <s v="Books"/>
    <n v="804.45"/>
    <n v="5"/>
    <n v="0.2"/>
    <x v="67"/>
    <n v="257.42"/>
    <d v="2026-05-04T11:44:24"/>
  </r>
  <r>
    <s v="CUST012"/>
    <s v="Linda Wilson"/>
    <x v="0"/>
    <s v="Electronics"/>
    <n v="1215.26"/>
    <n v="5"/>
    <n v="0.15"/>
    <x v="68"/>
    <n v="258.24"/>
    <d v="2026-05-04T11:44:24"/>
  </r>
  <r>
    <s v="CUST012"/>
    <s v="Lisa Davis"/>
    <x v="1"/>
    <s v="Electronics"/>
    <n v="925.29"/>
    <n v="17"/>
    <n v="0"/>
    <x v="69"/>
    <n v="231.32"/>
    <d v="2026-05-04T11:44:24"/>
  </r>
  <r>
    <s v="CUST012"/>
    <s v="David Brown"/>
    <x v="0"/>
    <s v="Electronics"/>
    <n v="688.83"/>
    <n v="15"/>
    <n v="0"/>
    <x v="70"/>
    <n v="172.21"/>
    <d v="2026-05-04T11:44:24"/>
  </r>
  <r>
    <s v="CUST012"/>
    <s v="Lisa Thomas"/>
    <x v="1"/>
    <s v="Clothing"/>
    <n v="845.84"/>
    <n v="4"/>
    <n v="0"/>
    <x v="71"/>
    <n v="422.92"/>
    <d v="2026-05-04T11:44:24"/>
  </r>
  <r>
    <s v="CUST013"/>
    <s v="Robert Anderson"/>
    <x v="3"/>
    <s v="Furniture"/>
    <n v="727.73"/>
    <n v="1"/>
    <n v="0.1"/>
    <x v="72"/>
    <n v="229.23"/>
    <d v="2026-05-04T11:44:24"/>
  </r>
  <r>
    <s v="CUST013"/>
    <s v="Linda Wilson"/>
    <x v="2"/>
    <s v="Books"/>
    <n v="1249.0999999999999"/>
    <n v="4"/>
    <n v="0.05"/>
    <x v="73"/>
    <n v="474.66"/>
    <d v="2026-05-04T11:44:24"/>
  </r>
  <r>
    <s v="CUST013"/>
    <s v="Mary Wilson"/>
    <x v="1"/>
    <s v="Clothing"/>
    <n v="1171.18"/>
    <n v="19"/>
    <n v="0.05"/>
    <x v="74"/>
    <n v="556.30999999999995"/>
    <d v="2026-05-04T11:44:24"/>
  </r>
  <r>
    <s v="CUST013"/>
    <s v="Linda Taylor"/>
    <x v="2"/>
    <s v="Books"/>
    <n v="1014.43"/>
    <n v="2"/>
    <n v="0.15"/>
    <x v="75"/>
    <n v="344.91"/>
    <d v="2026-05-04T11:44:24"/>
  </r>
  <r>
    <s v="CUST014"/>
    <s v="Emma Davis"/>
    <x v="0"/>
    <s v="Office Supplies"/>
    <n v="1572.82"/>
    <n v="6"/>
    <n v="0.05"/>
    <x v="76"/>
    <n v="672.38"/>
    <d v="2026-05-04T11:44:24"/>
  </r>
  <r>
    <s v="CUST014"/>
    <s v="David Thomas"/>
    <x v="2"/>
    <s v="Books"/>
    <n v="1343.13"/>
    <n v="14"/>
    <n v="0.15"/>
    <x v="77"/>
    <n v="456.66"/>
    <d v="2026-05-04T11:44:24"/>
  </r>
  <r>
    <s v="CUST014"/>
    <s v="Sarah Davis"/>
    <x v="3"/>
    <s v="Books"/>
    <n v="961.62"/>
    <n v="8"/>
    <n v="0.2"/>
    <x v="48"/>
    <n v="307.72000000000003"/>
    <d v="2026-05-04T11:44:24"/>
  </r>
  <r>
    <s v="CUST014"/>
    <s v="David Anderson"/>
    <x v="3"/>
    <s v="Furniture"/>
    <n v="853.86"/>
    <n v="8"/>
    <n v="0.1"/>
    <x v="78"/>
    <n v="268.97000000000003"/>
    <d v="2026-05-04T11:44:24"/>
  </r>
  <r>
    <s v="CUST014"/>
    <s v="Emma Davis"/>
    <x v="3"/>
    <s v="Books"/>
    <n v="1064.19"/>
    <n v="18"/>
    <n v="0.05"/>
    <x v="79"/>
    <n v="404.39"/>
    <d v="2026-05-04T11:44:24"/>
  </r>
  <r>
    <s v="CUST014"/>
    <s v="Sarah Anderson"/>
    <x v="0"/>
    <s v="Clothing"/>
    <n v="934.27"/>
    <n v="8"/>
    <n v="0.15"/>
    <x v="80"/>
    <n v="397.06"/>
    <d v="2026-05-04T11:44:24"/>
  </r>
  <r>
    <s v="CUST015"/>
    <s v="Linda Taylor"/>
    <x v="1"/>
    <s v="Office Supplies"/>
    <n v="1200.9000000000001"/>
    <n v="14"/>
    <n v="0.05"/>
    <x v="66"/>
    <n v="513.38"/>
    <d v="2026-05-04T11:44:24"/>
  </r>
  <r>
    <s v="CUST015"/>
    <s v="James Wilson"/>
    <x v="3"/>
    <s v="Clothing"/>
    <n v="1226.6199999999999"/>
    <n v="7"/>
    <n v="0.1"/>
    <x v="81"/>
    <n v="551.98"/>
    <d v="2026-05-04T11:44:24"/>
  </r>
  <r>
    <s v="CUST015"/>
    <s v="David Thomas"/>
    <x v="0"/>
    <s v="Clothing"/>
    <n v="1168.8900000000001"/>
    <n v="4"/>
    <n v="0.1"/>
    <x v="16"/>
    <n v="526"/>
    <d v="2026-05-04T11:44:24"/>
  </r>
  <r>
    <s v="CUST015"/>
    <s v="James Wilson"/>
    <x v="0"/>
    <s v="Clothing"/>
    <n v="1923.66"/>
    <n v="9"/>
    <n v="0.2"/>
    <x v="82"/>
    <n v="769.46"/>
    <d v="2026-05-04T11:44:24"/>
  </r>
  <r>
    <s v="CUST015"/>
    <s v="David Anderson"/>
    <x v="0"/>
    <s v="Furniture"/>
    <n v="820.19"/>
    <n v="4"/>
    <n v="0.2"/>
    <x v="83"/>
    <n v="229.65"/>
    <d v="2026-05-04T11:44:24"/>
  </r>
  <r>
    <s v="CUST015"/>
    <s v="Emma Davis"/>
    <x v="2"/>
    <s v="Electronics"/>
    <n v="511.74"/>
    <n v="8"/>
    <n v="0.05"/>
    <x v="84"/>
    <n v="121.54"/>
    <d v="2026-05-04T11:44:24"/>
  </r>
  <r>
    <s v="CUST015"/>
    <s v="Robert Anderson"/>
    <x v="3"/>
    <s v="Furniture"/>
    <n v="1054.56"/>
    <n v="11"/>
    <n v="0.1"/>
    <x v="85"/>
    <n v="332.19"/>
    <d v="2026-05-04T11:44:24"/>
  </r>
  <r>
    <s v="CUST015"/>
    <s v="James Wilson"/>
    <x v="1"/>
    <s v="Electronics"/>
    <n v="1681.21"/>
    <n v="5"/>
    <n v="0.2"/>
    <x v="86"/>
    <n v="336.24"/>
    <d v="2026-05-04T11:44:24"/>
  </r>
  <r>
    <s v="CUST015"/>
    <s v="David Thomas"/>
    <x v="0"/>
    <s v="Clothing"/>
    <n v="379.77"/>
    <n v="9"/>
    <n v="0.05"/>
    <x v="87"/>
    <n v="180.39"/>
    <d v="2026-05-04T11:44:24"/>
  </r>
  <r>
    <s v="CUST015"/>
    <s v="Lisa Thomas"/>
    <x v="4"/>
    <s v="Books"/>
    <n v="1098.08"/>
    <n v="9"/>
    <n v="0.1"/>
    <x v="88"/>
    <n v="395.31"/>
    <d v="2026-05-04T11:44:24"/>
  </r>
  <r>
    <s v="CUST015"/>
    <s v="Sarah Anderson"/>
    <x v="0"/>
    <s v="Office Supplies"/>
    <n v="545.44000000000005"/>
    <n v="17"/>
    <n v="0"/>
    <x v="60"/>
    <n v="245.45"/>
    <d v="2026-05-04T11:44:24"/>
  </r>
  <r>
    <s v="CUST016"/>
    <s v="Emma Wilson"/>
    <x v="4"/>
    <s v="Books"/>
    <n v="580.42999999999995"/>
    <n v="19"/>
    <n v="0.15"/>
    <x v="89"/>
    <n v="197.35"/>
    <d v="2026-05-04T11:44:24"/>
  </r>
  <r>
    <s v="CUST016"/>
    <s v="Michael Anderson"/>
    <x v="1"/>
    <s v="Clothing"/>
    <n v="990.19"/>
    <n v="8"/>
    <n v="0.1"/>
    <x v="90"/>
    <n v="445.59"/>
    <d v="2026-05-04T11:44:24"/>
  </r>
  <r>
    <s v="CUST016"/>
    <s v="James Taylor"/>
    <x v="3"/>
    <s v="Clothing"/>
    <n v="870.23"/>
    <n v="5"/>
    <n v="0.05"/>
    <x v="91"/>
    <n v="413.36"/>
    <d v="2026-05-04T11:44:24"/>
  </r>
  <r>
    <s v="CUST016"/>
    <s v="David Thomas"/>
    <x v="3"/>
    <s v="Clothing"/>
    <n v="928.32"/>
    <n v="2"/>
    <n v="0.05"/>
    <x v="92"/>
    <n v="440.95"/>
    <d v="2026-05-04T11:44:24"/>
  </r>
  <r>
    <s v="CUST017"/>
    <s v="James Taylor"/>
    <x v="4"/>
    <s v="Books"/>
    <n v="713.34"/>
    <n v="17"/>
    <n v="0"/>
    <x v="27"/>
    <n v="285.33999999999997"/>
    <d v="2026-05-04T11:44:24"/>
  </r>
  <r>
    <s v="CUST017"/>
    <s v="Linda Davis"/>
    <x v="2"/>
    <s v="Electronics"/>
    <n v="856.7"/>
    <n v="2"/>
    <n v="0"/>
    <x v="93"/>
    <n v="214.18"/>
    <d v="2026-05-04T11:44:24"/>
  </r>
  <r>
    <s v="CUST017"/>
    <s v="Sarah Davis"/>
    <x v="0"/>
    <s v="Office Supplies"/>
    <n v="826.93"/>
    <n v="10"/>
    <n v="0.2"/>
    <x v="18"/>
    <n v="297.69"/>
    <d v="2026-05-04T11:44:24"/>
  </r>
  <r>
    <s v="CUST017"/>
    <s v="Mary Davis"/>
    <x v="2"/>
    <s v="Clothing"/>
    <n v="1022.23"/>
    <n v="8"/>
    <n v="0.1"/>
    <x v="94"/>
    <n v="460"/>
    <d v="2026-05-04T11:44:24"/>
  </r>
  <r>
    <s v="CUST018"/>
    <s v="Mary Jackson"/>
    <x v="3"/>
    <s v="Books"/>
    <n v="966.3"/>
    <n v="2"/>
    <n v="0.15"/>
    <x v="95"/>
    <n v="328.54"/>
    <d v="2026-05-04T11:44:24"/>
  </r>
  <r>
    <s v="CUST018"/>
    <s v="Lisa Thomas"/>
    <x v="3"/>
    <s v="Electronics"/>
    <n v="1061.04"/>
    <n v="1"/>
    <n v="0"/>
    <x v="96"/>
    <n v="265.26"/>
    <d v="2026-05-04T11:44:24"/>
  </r>
  <r>
    <s v="CUST018"/>
    <s v="Lisa Davis"/>
    <x v="1"/>
    <s v="Books"/>
    <n v="640.64"/>
    <n v="11"/>
    <n v="0.2"/>
    <x v="97"/>
    <n v="205"/>
    <d v="2026-05-04T11:44:24"/>
  </r>
  <r>
    <s v="CUST018"/>
    <s v="Mary Davis"/>
    <x v="2"/>
    <s v="Clothing"/>
    <n v="826.97"/>
    <n v="18"/>
    <n v="0.2"/>
    <x v="98"/>
    <n v="330.79"/>
    <d v="2026-05-04T11:44:24"/>
  </r>
  <r>
    <s v="CUST018"/>
    <s v="David Anderson"/>
    <x v="2"/>
    <s v="Clothing"/>
    <n v="1456.94"/>
    <n v="14"/>
    <n v="0.05"/>
    <x v="51"/>
    <n v="692.05"/>
    <d v="2026-05-04T11:44:24"/>
  </r>
  <r>
    <s v="CUST019"/>
    <s v="James Davis"/>
    <x v="0"/>
    <s v="Books"/>
    <n v="1036.0899999999999"/>
    <n v="4"/>
    <n v="0.2"/>
    <x v="99"/>
    <n v="331.55"/>
    <d v="2026-05-04T11:44:24"/>
  </r>
  <r>
    <s v="CUST019"/>
    <s v="Mary Davis"/>
    <x v="0"/>
    <s v="Books"/>
    <n v="743.17"/>
    <n v="9"/>
    <n v="0"/>
    <x v="100"/>
    <n v="297.27"/>
    <d v="2026-05-04T11:44:24"/>
  </r>
  <r>
    <s v="CUST019"/>
    <s v="David Brown"/>
    <x v="4"/>
    <s v="Office Supplies"/>
    <n v="840.92"/>
    <n v="9"/>
    <n v="0.05"/>
    <x v="66"/>
    <n v="359.49"/>
    <d v="2026-05-04T11:44:24"/>
  </r>
  <r>
    <s v="CUST019"/>
    <s v="Linda Jackson"/>
    <x v="2"/>
    <s v="Clothing"/>
    <n v="1301.8900000000001"/>
    <n v="7"/>
    <n v="0.15"/>
    <x v="101"/>
    <n v="553.29999999999995"/>
    <d v="2026-05-04T11:44:24"/>
  </r>
  <r>
    <s v="CUST019"/>
    <s v="James Taylor"/>
    <x v="3"/>
    <s v="Electronics"/>
    <n v="718.04"/>
    <n v="14"/>
    <n v="0"/>
    <x v="23"/>
    <n v="179.51"/>
    <d v="2026-05-04T11:44:24"/>
  </r>
  <r>
    <s v="CUST020"/>
    <s v="David Brown"/>
    <x v="0"/>
    <s v="Furniture"/>
    <n v="1371.34"/>
    <n v="5"/>
    <n v="0.05"/>
    <x v="8"/>
    <n v="455.97"/>
    <d v="2026-05-04T11:44:24"/>
  </r>
  <r>
    <s v="CUST020"/>
    <s v="Linda Moore"/>
    <x v="3"/>
    <s v="Office Supplies"/>
    <n v="981.2"/>
    <n v="19"/>
    <n v="0"/>
    <x v="102"/>
    <n v="441.54"/>
    <d v="2026-05-04T11:44:24"/>
  </r>
  <r>
    <s v="CUST020"/>
    <s v="Linda Jackson"/>
    <x v="4"/>
    <s v="Furniture"/>
    <n v="1143.69"/>
    <n v="17"/>
    <n v="0"/>
    <x v="39"/>
    <n v="400.29"/>
    <d v="2026-05-04T11:44:24"/>
  </r>
  <r>
    <s v="CUST020"/>
    <s v="James Taylor"/>
    <x v="3"/>
    <s v="Books"/>
    <n v="917.48"/>
    <n v="6"/>
    <n v="0"/>
    <x v="103"/>
    <n v="366.99"/>
    <d v="2026-05-04T11:44:24"/>
  </r>
  <r>
    <s v="CUST021"/>
    <s v="Sarah Anderson"/>
    <x v="3"/>
    <s v="Electronics"/>
    <n v="967.89"/>
    <n v="10"/>
    <n v="0.1"/>
    <x v="66"/>
    <n v="217.78"/>
    <d v="2026-05-04T11:44:24"/>
  </r>
  <r>
    <s v="CUST021"/>
    <s v="James Wilson"/>
    <x v="2"/>
    <s v="Books"/>
    <n v="840.85"/>
    <n v="19"/>
    <n v="0.1"/>
    <x v="104"/>
    <n v="302.70999999999998"/>
    <d v="2026-05-04T11:44:24"/>
  </r>
  <r>
    <s v="CUST021"/>
    <s v="Michael Anderson"/>
    <x v="4"/>
    <s v="Furniture"/>
    <n v="1186.8499999999999"/>
    <n v="19"/>
    <n v="0.2"/>
    <x v="105"/>
    <n v="332.32"/>
    <d v="2026-05-04T11:44:24"/>
  </r>
  <r>
    <s v="CUST021"/>
    <s v="Mary Davis"/>
    <x v="4"/>
    <s v="Books"/>
    <n v="1383.3"/>
    <n v="8"/>
    <n v="0.1"/>
    <x v="106"/>
    <n v="497.99"/>
    <d v="2026-05-04T11:44:24"/>
  </r>
  <r>
    <s v="CUST021"/>
    <s v="Mary Jackson"/>
    <x v="1"/>
    <s v="Electronics"/>
    <n v="1020.26"/>
    <n v="11"/>
    <n v="0.05"/>
    <x v="107"/>
    <n v="242.31"/>
    <d v="2026-05-04T11:44:24"/>
  </r>
  <r>
    <s v="CUST021"/>
    <s v="James Wilson"/>
    <x v="1"/>
    <s v="Clothing"/>
    <n v="1205.82"/>
    <n v="11"/>
    <n v="0.1"/>
    <x v="108"/>
    <n v="542.62"/>
    <d v="2026-05-04T11:44:24"/>
  </r>
  <r>
    <s v="CUST021"/>
    <s v="Emma Davis"/>
    <x v="2"/>
    <s v="Books"/>
    <n v="1150.28"/>
    <n v="8"/>
    <n v="0.05"/>
    <x v="78"/>
    <n v="437.11"/>
    <d v="2026-05-04T11:44:24"/>
  </r>
  <r>
    <s v="CUST021"/>
    <s v="David Brown"/>
    <x v="0"/>
    <s v="Furniture"/>
    <n v="984.93"/>
    <n v="14"/>
    <n v="0.2"/>
    <x v="109"/>
    <n v="275.77999999999997"/>
    <d v="2026-05-04T11:44:24"/>
  </r>
  <r>
    <s v="CUST022"/>
    <s v="Robert Anderson"/>
    <x v="1"/>
    <s v="Electronics"/>
    <n v="388.56"/>
    <n v="14"/>
    <n v="0.15"/>
    <x v="100"/>
    <n v="82.57"/>
    <d v="2026-05-04T11:44:24"/>
  </r>
  <r>
    <s v="CUST022"/>
    <s v="David Davis"/>
    <x v="2"/>
    <s v="Books"/>
    <n v="1023.21"/>
    <n v="18"/>
    <n v="0.05"/>
    <x v="2"/>
    <n v="388.82"/>
    <d v="2026-05-04T11:44:24"/>
  </r>
  <r>
    <s v="CUST022"/>
    <s v="Linda Brown"/>
    <x v="3"/>
    <s v="Books"/>
    <n v="1264.49"/>
    <n v="16"/>
    <n v="0.05"/>
    <x v="110"/>
    <n v="480.51"/>
    <d v="2026-05-04T11:44:24"/>
  </r>
  <r>
    <s v="CUST022"/>
    <s v="Lisa Thomas"/>
    <x v="2"/>
    <s v="Office Supplies"/>
    <n v="388.23"/>
    <n v="16"/>
    <n v="0.05"/>
    <x v="111"/>
    <n v="165.97"/>
    <d v="2026-05-04T11:44:24"/>
  </r>
  <r>
    <s v="CUST022"/>
    <s v="James Wilson"/>
    <x v="0"/>
    <s v="Books"/>
    <n v="1353.79"/>
    <n v="14"/>
    <n v="0.1"/>
    <x v="112"/>
    <n v="487.36"/>
    <d v="2026-05-04T11:44:24"/>
  </r>
  <r>
    <s v="CUST023"/>
    <s v="Robert Anderson"/>
    <x v="0"/>
    <s v="Furniture"/>
    <n v="822.28"/>
    <n v="7"/>
    <n v="0.05"/>
    <x v="35"/>
    <n v="273.41000000000003"/>
    <d v="2026-05-04T11:44:24"/>
  </r>
  <r>
    <s v="CUST023"/>
    <s v="Mary Davis"/>
    <x v="2"/>
    <s v="Electronics"/>
    <n v="706.37"/>
    <n v="6"/>
    <n v="0"/>
    <x v="100"/>
    <n v="176.59"/>
    <d v="2026-05-04T11:44:24"/>
  </r>
  <r>
    <s v="CUST023"/>
    <s v="David Davis"/>
    <x v="4"/>
    <s v="Office Supplies"/>
    <n v="556.41999999999996"/>
    <n v="11"/>
    <n v="0.15"/>
    <x v="113"/>
    <n v="212.83"/>
    <d v="2026-05-04T11:44:24"/>
  </r>
  <r>
    <s v="CUST023"/>
    <s v="David Brown"/>
    <x v="4"/>
    <s v="Furniture"/>
    <n v="873.7"/>
    <n v="9"/>
    <n v="0"/>
    <x v="114"/>
    <n v="305.8"/>
    <d v="2026-05-04T11:44:24"/>
  </r>
  <r>
    <s v="CUST023"/>
    <s v="James Wilson"/>
    <x v="4"/>
    <s v="Office Supplies"/>
    <n v="1154.33"/>
    <n v="11"/>
    <n v="0.15"/>
    <x v="110"/>
    <n v="441.53"/>
    <d v="2026-05-04T11:44:24"/>
  </r>
  <r>
    <s v="CUST023"/>
    <s v="James Taylor"/>
    <x v="3"/>
    <s v="Clothing"/>
    <n v="1118.3399999999999"/>
    <n v="6"/>
    <n v="0.2"/>
    <x v="50"/>
    <n v="447.34"/>
    <d v="2026-05-04T11:44:24"/>
  </r>
  <r>
    <s v="CUST023"/>
    <s v="Mary Wilson"/>
    <x v="3"/>
    <s v="Clothing"/>
    <n v="682.24"/>
    <n v="1"/>
    <n v="0"/>
    <x v="115"/>
    <n v="341.12"/>
    <d v="2026-05-04T11:44:24"/>
  </r>
  <r>
    <s v="CUST024"/>
    <s v="David Brown"/>
    <x v="4"/>
    <s v="Electronics"/>
    <n v="539.77"/>
    <n v="10"/>
    <n v="0.15"/>
    <x v="67"/>
    <n v="114.7"/>
    <d v="2026-05-04T11:44:24"/>
  </r>
  <r>
    <s v="CUST024"/>
    <s v="Emma Davis"/>
    <x v="0"/>
    <s v="Electronics"/>
    <n v="1526.6"/>
    <n v="13"/>
    <n v="0.2"/>
    <x v="116"/>
    <n v="305.32"/>
    <d v="2026-05-04T11:44:24"/>
  </r>
  <r>
    <s v="CUST024"/>
    <s v="Emma Taylor"/>
    <x v="4"/>
    <s v="Books"/>
    <n v="980.18"/>
    <n v="16"/>
    <n v="0.1"/>
    <x v="117"/>
    <n v="352.86"/>
    <d v="2026-05-04T11:44:24"/>
  </r>
  <r>
    <s v="CUST024"/>
    <s v="James Wilson"/>
    <x v="1"/>
    <s v="Electronics"/>
    <n v="706.73"/>
    <n v="1"/>
    <n v="0.15"/>
    <x v="23"/>
    <n v="150.18"/>
    <d v="2026-05-04T11:44:24"/>
  </r>
  <r>
    <s v="CUST024"/>
    <s v="Linda Taylor"/>
    <x v="1"/>
    <s v="Clothing"/>
    <n v="1622.62"/>
    <n v="12"/>
    <n v="0.2"/>
    <x v="118"/>
    <n v="649.04999999999995"/>
    <d v="2026-05-04T11:44:24"/>
  </r>
  <r>
    <s v="CUST024"/>
    <s v="Linda Wilson"/>
    <x v="2"/>
    <s v="Clothing"/>
    <n v="741.88"/>
    <n v="16"/>
    <n v="0.1"/>
    <x v="119"/>
    <n v="333.85"/>
    <d v="2026-05-04T11:44:24"/>
  </r>
  <r>
    <s v="CUST024"/>
    <s v="David Thomas"/>
    <x v="2"/>
    <s v="Clothing"/>
    <n v="1465.35"/>
    <n v="8"/>
    <n v="0.2"/>
    <x v="80"/>
    <n v="586.14"/>
    <d v="2026-05-04T11:44:24"/>
  </r>
  <r>
    <s v="CUST025"/>
    <s v="David Brown"/>
    <x v="1"/>
    <s v="Electronics"/>
    <n v="1450.71"/>
    <n v="5"/>
    <n v="0.1"/>
    <x v="120"/>
    <n v="326.41000000000003"/>
    <d v="2026-05-04T11:44:24"/>
  </r>
  <r>
    <s v="CUST025"/>
    <s v="David Davis"/>
    <x v="2"/>
    <s v="Office Supplies"/>
    <n v="1225.42"/>
    <n v="8"/>
    <n v="0.15"/>
    <x v="93"/>
    <n v="468.72"/>
    <d v="2026-05-04T11:44:24"/>
  </r>
  <r>
    <s v="CUST025"/>
    <s v="Mary Jackson"/>
    <x v="4"/>
    <s v="Furniture"/>
    <n v="1286.54"/>
    <n v="8"/>
    <n v="0"/>
    <x v="121"/>
    <n v="450.29"/>
    <d v="2026-05-04T11:44:24"/>
  </r>
  <r>
    <s v="CUST025"/>
    <s v="Emma Taylor"/>
    <x v="2"/>
    <s v="Clothing"/>
    <n v="728.71"/>
    <n v="14"/>
    <n v="0.1"/>
    <x v="101"/>
    <n v="327.92"/>
    <d v="2026-05-04T11:44:24"/>
  </r>
  <r>
    <s v="CUST025"/>
    <s v="Lisa Davis"/>
    <x v="4"/>
    <s v="Books"/>
    <n v="1010.58"/>
    <n v="2"/>
    <n v="0.15"/>
    <x v="122"/>
    <n v="343.6"/>
    <d v="2026-05-04T11:44:24"/>
  </r>
  <r>
    <s v="CUST025"/>
    <s v="Lisa Thomas"/>
    <x v="4"/>
    <s v="Office Supplies"/>
    <n v="1014.56"/>
    <n v="10"/>
    <n v="0.1"/>
    <x v="123"/>
    <n v="410.9"/>
    <d v="2026-05-04T11:44:24"/>
  </r>
  <r>
    <s v="CUST026"/>
    <s v="Mary Davis"/>
    <x v="4"/>
    <s v="Furniture"/>
    <n v="1074.47"/>
    <n v="6"/>
    <n v="0.2"/>
    <x v="52"/>
    <n v="300.85000000000002"/>
    <d v="2026-05-04T11:44:24"/>
  </r>
  <r>
    <s v="CUST026"/>
    <s v="Mary Davis"/>
    <x v="2"/>
    <s v="Electronics"/>
    <n v="645.02"/>
    <n v="4"/>
    <n v="0"/>
    <x v="124"/>
    <n v="161.26"/>
    <d v="2026-05-04T11:44:24"/>
  </r>
  <r>
    <s v="CUST026"/>
    <s v="Emma Wilson"/>
    <x v="1"/>
    <s v="Furniture"/>
    <n v="1227.25"/>
    <n v="12"/>
    <n v="0.15"/>
    <x v="104"/>
    <n v="365.11"/>
    <d v="2026-05-04T11:44:24"/>
  </r>
  <r>
    <s v="CUST026"/>
    <s v="Mary Davis"/>
    <x v="4"/>
    <s v="Furniture"/>
    <n v="933.71"/>
    <n v="17"/>
    <n v="0.1"/>
    <x v="14"/>
    <n v="294.12"/>
    <d v="2026-05-04T11:44:24"/>
  </r>
  <r>
    <s v="CUST026"/>
    <s v="Linda Wilson"/>
    <x v="0"/>
    <s v="Office Supplies"/>
    <n v="1111.3399999999999"/>
    <n v="1"/>
    <n v="0"/>
    <x v="125"/>
    <n v="500.1"/>
    <d v="2026-05-04T11:44:24"/>
  </r>
  <r>
    <s v="CUST026"/>
    <s v="Mary Wilson"/>
    <x v="1"/>
    <s v="Furniture"/>
    <n v="957.29"/>
    <n v="4"/>
    <n v="0.05"/>
    <x v="122"/>
    <n v="318.3"/>
    <d v="2026-05-04T11:44:24"/>
  </r>
  <r>
    <s v="CUST026"/>
    <s v="Emma Taylor"/>
    <x v="4"/>
    <s v="Books"/>
    <n v="1231.26"/>
    <n v="9"/>
    <n v="0"/>
    <x v="126"/>
    <n v="492.5"/>
    <d v="2026-05-04T11:44:24"/>
  </r>
  <r>
    <s v="CUST026"/>
    <s v="Sarah Anderson"/>
    <x v="0"/>
    <s v="Electronics"/>
    <n v="1161.67"/>
    <n v="19"/>
    <n v="0.2"/>
    <x v="127"/>
    <n v="232.33"/>
    <d v="2026-05-04T11:44:24"/>
  </r>
  <r>
    <s v="CUST026"/>
    <s v="David Brown"/>
    <x v="0"/>
    <s v="Electronics"/>
    <n v="1029.8"/>
    <n v="3"/>
    <n v="0"/>
    <x v="128"/>
    <n v="257.45"/>
    <d v="2026-05-04T11:44:24"/>
  </r>
  <r>
    <s v="CUST027"/>
    <s v="Emma Davis"/>
    <x v="4"/>
    <s v="Office Supplies"/>
    <n v="875.41"/>
    <n v="13"/>
    <n v="0.15"/>
    <x v="72"/>
    <n v="334.84"/>
    <d v="2026-05-04T11:44:24"/>
  </r>
  <r>
    <s v="CUST027"/>
    <s v="Emma Davis"/>
    <x v="1"/>
    <s v="Books"/>
    <n v="585.97"/>
    <n v="17"/>
    <n v="0.1"/>
    <x v="90"/>
    <n v="210.95"/>
    <d v="2026-05-04T11:44:24"/>
  </r>
  <r>
    <s v="CUST027"/>
    <s v="James Wilson"/>
    <x v="0"/>
    <s v="Clothing"/>
    <n v="697.57"/>
    <n v="17"/>
    <n v="0.1"/>
    <x v="34"/>
    <n v="313.91000000000003"/>
    <d v="2026-05-04T11:44:24"/>
  </r>
  <r>
    <s v="CUST027"/>
    <s v="James Wilson"/>
    <x v="0"/>
    <s v="Electronics"/>
    <n v="258.51"/>
    <n v="19"/>
    <n v="0"/>
    <x v="62"/>
    <n v="64.63"/>
    <d v="2026-05-04T11:44:24"/>
  </r>
  <r>
    <s v="CUST027"/>
    <s v="Linda Wilson"/>
    <x v="2"/>
    <s v="Electronics"/>
    <n v="1488.58"/>
    <n v="10"/>
    <n v="0.15"/>
    <x v="5"/>
    <n v="316.32"/>
    <d v="2026-05-04T11:44:24"/>
  </r>
  <r>
    <s v="CUST028"/>
    <s v="Linda Taylor"/>
    <x v="4"/>
    <s v="Office Supplies"/>
    <n v="983.34"/>
    <n v="19"/>
    <n v="0.1"/>
    <x v="129"/>
    <n v="398.25"/>
    <d v="2026-05-04T11:44:24"/>
  </r>
  <r>
    <s v="CUST028"/>
    <s v="James Wilson"/>
    <x v="3"/>
    <s v="Electronics"/>
    <n v="801.21"/>
    <n v="3"/>
    <n v="0.2"/>
    <x v="129"/>
    <n v="160.24"/>
    <d v="2026-05-04T11:44:24"/>
  </r>
  <r>
    <s v="CUST028"/>
    <s v="Lisa Davis"/>
    <x v="2"/>
    <s v="Furniture"/>
    <n v="1410.06"/>
    <n v="11"/>
    <n v="0.05"/>
    <x v="44"/>
    <n v="468.84"/>
    <d v="2026-05-04T11:44:24"/>
  </r>
  <r>
    <s v="CUST028"/>
    <s v="James Wilson"/>
    <x v="2"/>
    <s v="Office Supplies"/>
    <n v="1025.98"/>
    <n v="5"/>
    <n v="0.2"/>
    <x v="113"/>
    <n v="369.35"/>
    <d v="2026-05-04T11:44:24"/>
  </r>
  <r>
    <s v="CUST028"/>
    <s v="Linda Brown"/>
    <x v="2"/>
    <s v="Electronics"/>
    <n v="790.08"/>
    <n v="7"/>
    <n v="0.1"/>
    <x v="32"/>
    <n v="177.77"/>
    <d v="2026-05-04T11:44:24"/>
  </r>
  <r>
    <s v="CUST028"/>
    <s v="Linda Brown"/>
    <x v="3"/>
    <s v="Clothing"/>
    <n v="1163.01"/>
    <n v="5"/>
    <n v="0"/>
    <x v="130"/>
    <n v="581.5"/>
    <d v="2026-05-04T11:44:24"/>
  </r>
  <r>
    <s v="CUST028"/>
    <s v="Lisa Davis"/>
    <x v="1"/>
    <s v="Office Supplies"/>
    <n v="309.42"/>
    <n v="1"/>
    <n v="0.2"/>
    <x v="63"/>
    <n v="111.39"/>
    <d v="2026-05-04T11:44:24"/>
  </r>
  <r>
    <s v="CUST028"/>
    <s v="James Wilson"/>
    <x v="2"/>
    <s v="Office Supplies"/>
    <n v="745.05"/>
    <n v="10"/>
    <n v="0.1"/>
    <x v="91"/>
    <n v="301.75"/>
    <d v="2026-05-04T11:44:24"/>
  </r>
  <r>
    <s v="CUST028"/>
    <s v="James Wilson"/>
    <x v="0"/>
    <s v="Electronics"/>
    <n v="1115.22"/>
    <n v="14"/>
    <n v="0.2"/>
    <x v="131"/>
    <n v="223.04"/>
    <d v="2026-05-04T11:44:24"/>
  </r>
  <r>
    <s v="CUST028"/>
    <s v="Sarah Davis"/>
    <x v="1"/>
    <s v="Books"/>
    <n v="710.52"/>
    <n v="8"/>
    <n v="0.1"/>
    <x v="132"/>
    <n v="255.79"/>
    <d v="2026-05-04T11:44:24"/>
  </r>
  <r>
    <s v="CUST028"/>
    <s v="Mary Wilson"/>
    <x v="1"/>
    <s v="Books"/>
    <n v="499.18"/>
    <n v="15"/>
    <n v="0.2"/>
    <x v="133"/>
    <n v="159.74"/>
    <d v="2026-05-04T11:44:24"/>
  </r>
  <r>
    <s v="CUST028"/>
    <s v="Robert Anderson"/>
    <x v="3"/>
    <s v="Office Supplies"/>
    <n v="740.8"/>
    <n v="3"/>
    <n v="0"/>
    <x v="134"/>
    <n v="333.36"/>
    <d v="2026-05-04T11:44:24"/>
  </r>
  <r>
    <s v="CUST029"/>
    <s v="David Smith"/>
    <x v="1"/>
    <s v="Furniture"/>
    <n v="521.66999999999996"/>
    <n v="15"/>
    <n v="0.15"/>
    <x v="135"/>
    <n v="155.19999999999999"/>
    <d v="2026-05-04T11:44:24"/>
  </r>
  <r>
    <s v="CUST029"/>
    <s v="Sarah Davis"/>
    <x v="1"/>
    <s v="Electronics"/>
    <n v="741.61"/>
    <n v="1"/>
    <n v="0.2"/>
    <x v="136"/>
    <n v="148.32"/>
    <d v="2026-05-04T11:44:24"/>
  </r>
  <r>
    <s v="CUST029"/>
    <s v="Emma Wilson"/>
    <x v="3"/>
    <s v="Electronics"/>
    <n v="1100.0999999999999"/>
    <n v="5"/>
    <n v="0.05"/>
    <x v="137"/>
    <n v="261.27"/>
    <d v="2026-05-04T11:44:24"/>
  </r>
  <r>
    <s v="CUST029"/>
    <s v="Emma Wilson"/>
    <x v="0"/>
    <s v="Furniture"/>
    <n v="1172.97"/>
    <n v="7"/>
    <n v="0.15"/>
    <x v="108"/>
    <n v="348.96"/>
    <d v="2026-05-04T11:44:24"/>
  </r>
  <r>
    <s v="CUST029"/>
    <s v="Lisa Thomas"/>
    <x v="4"/>
    <s v="Electronics"/>
    <n v="919.18"/>
    <n v="4"/>
    <n v="0.15"/>
    <x v="9"/>
    <n v="195.33"/>
    <d v="2026-05-04T11:44:24"/>
  </r>
  <r>
    <s v="CUST029"/>
    <s v="David Brown"/>
    <x v="0"/>
    <s v="Clothing"/>
    <n v="864.98"/>
    <n v="2"/>
    <n v="0.05"/>
    <x v="138"/>
    <n v="410.87"/>
    <d v="2026-05-04T11:44:24"/>
  </r>
  <r>
    <s v="CUST029"/>
    <s v="Michael Anderson"/>
    <x v="1"/>
    <s v="Electronics"/>
    <n v="458.54"/>
    <n v="15"/>
    <n v="0.2"/>
    <x v="139"/>
    <n v="91.71"/>
    <d v="2026-05-04T11:44:24"/>
  </r>
  <r>
    <s v="CUST030"/>
    <s v="James Wilson"/>
    <x v="1"/>
    <s v="Books"/>
    <n v="847"/>
    <n v="12"/>
    <n v="0.2"/>
    <x v="140"/>
    <n v="271.04000000000002"/>
    <d v="2026-05-04T11:44:24"/>
  </r>
  <r>
    <s v="CUST030"/>
    <s v="John Brown"/>
    <x v="1"/>
    <s v="Furniture"/>
    <n v="675.54"/>
    <n v="17"/>
    <n v="0"/>
    <x v="141"/>
    <n v="236.44"/>
    <d v="2026-05-04T11:44:24"/>
  </r>
  <r>
    <s v="CUST030"/>
    <s v="Sarah Davis"/>
    <x v="3"/>
    <s v="Furniture"/>
    <n v="1086.93"/>
    <n v="2"/>
    <n v="0"/>
    <x v="142"/>
    <n v="380.43"/>
    <d v="2026-05-04T11:44:24"/>
  </r>
  <r>
    <s v="CUST030"/>
    <s v="Emma Taylor"/>
    <x v="2"/>
    <s v="Books"/>
    <n v="973.26"/>
    <n v="11"/>
    <n v="0"/>
    <x v="143"/>
    <n v="389.3"/>
    <d v="2026-05-04T11:44:24"/>
  </r>
  <r>
    <s v="CUST030"/>
    <s v="David Brown"/>
    <x v="2"/>
    <s v="Electronics"/>
    <n v="608.66"/>
    <n v="1"/>
    <n v="0.05"/>
    <x v="144"/>
    <n v="144.56"/>
    <d v="2026-05-04T11:44:24"/>
  </r>
  <r>
    <s v="CUST030"/>
    <s v="Mary Davis"/>
    <x v="4"/>
    <s v="Clothing"/>
    <n v="1291.47"/>
    <n v="18"/>
    <n v="0.1"/>
    <x v="145"/>
    <n v="581.16"/>
    <d v="2026-05-04T11:44:24"/>
  </r>
  <r>
    <s v="CUST030"/>
    <s v="Sarah Anderson"/>
    <x v="0"/>
    <s v="Clothing"/>
    <n v="585.16"/>
    <n v="17"/>
    <n v="0.1"/>
    <x v="146"/>
    <n v="263.32"/>
    <d v="2026-05-04T11:44:24"/>
  </r>
  <r>
    <s v="CUST030"/>
    <s v="Mary Davis"/>
    <x v="4"/>
    <s v="Clothing"/>
    <n v="1109.98"/>
    <n v="5"/>
    <n v="0.2"/>
    <x v="147"/>
    <n v="443.99"/>
    <d v="2026-05-04T11:44:24"/>
  </r>
  <r>
    <s v="CUST030"/>
    <s v="Linda Taylor"/>
    <x v="1"/>
    <s v="Books"/>
    <n v="750.71"/>
    <n v="10"/>
    <n v="0.15"/>
    <x v="43"/>
    <n v="255.24"/>
    <d v="2026-05-04T11:44: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FE1AEF-C433-49CD-B14A-CE923A91083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9" firstHeaderRow="1" firstDataRow="1" firstDataCol="1"/>
  <pivotFields count="12">
    <pivotField showAll="0"/>
    <pivotField showAll="0"/>
    <pivotField axis="axisRow" showAll="0">
      <items count="6">
        <item x="2"/>
        <item x="4"/>
        <item x="1"/>
        <item x="3"/>
        <item x="0"/>
        <item t="default"/>
      </items>
    </pivotField>
    <pivotField showAll="0">
      <items count="6">
        <item x="1"/>
        <item x="3"/>
        <item x="0"/>
        <item x="2"/>
        <item x="4"/>
        <item t="default"/>
      </items>
    </pivotField>
    <pivotField dataField="1" showAll="0"/>
    <pivotField showAll="0"/>
    <pivotField showAll="0"/>
    <pivotField numFmtId="164" showAll="0">
      <items count="149">
        <item x="99"/>
        <item x="65"/>
        <item x="27"/>
        <item x="140"/>
        <item x="0"/>
        <item x="52"/>
        <item x="76"/>
        <item x="77"/>
        <item x="35"/>
        <item x="135"/>
        <item x="28"/>
        <item x="1"/>
        <item x="33"/>
        <item x="124"/>
        <item x="36"/>
        <item x="100"/>
        <item x="57"/>
        <item x="141"/>
        <item x="37"/>
        <item x="129"/>
        <item x="120"/>
        <item x="2"/>
        <item x="66"/>
        <item x="44"/>
        <item x="89"/>
        <item x="29"/>
        <item x="113"/>
        <item x="104"/>
        <item x="93"/>
        <item x="61"/>
        <item x="105"/>
        <item x="45"/>
        <item x="38"/>
        <item x="81"/>
        <item x="142"/>
        <item x="7"/>
        <item x="30"/>
        <item x="143"/>
        <item x="136"/>
        <item x="13"/>
        <item x="106"/>
        <item x="58"/>
        <item x="14"/>
        <item x="137"/>
        <item x="15"/>
        <item x="8"/>
        <item x="107"/>
        <item x="46"/>
        <item x="144"/>
        <item x="102"/>
        <item x="67"/>
        <item x="116"/>
        <item x="68"/>
        <item x="31"/>
        <item x="21"/>
        <item x="125"/>
        <item x="145"/>
        <item x="39"/>
        <item x="32"/>
        <item x="16"/>
        <item x="114"/>
        <item x="22"/>
        <item x="110"/>
        <item x="40"/>
        <item x="72"/>
        <item x="17"/>
        <item x="95"/>
        <item x="103"/>
        <item x="108"/>
        <item x="18"/>
        <item x="90"/>
        <item x="47"/>
        <item x="69"/>
        <item x="121"/>
        <item x="48"/>
        <item x="82"/>
        <item x="101"/>
        <item x="117"/>
        <item x="34"/>
        <item x="53"/>
        <item x="19"/>
        <item x="70"/>
        <item x="73"/>
        <item x="49"/>
        <item x="122"/>
        <item x="3"/>
        <item x="130"/>
        <item x="123"/>
        <item x="23"/>
        <item x="9"/>
        <item x="62"/>
        <item x="78"/>
        <item x="96"/>
        <item x="4"/>
        <item x="41"/>
        <item x="83"/>
        <item x="84"/>
        <item x="10"/>
        <item x="5"/>
        <item x="126"/>
        <item x="127"/>
        <item x="111"/>
        <item x="6"/>
        <item x="112"/>
        <item x="63"/>
        <item x="64"/>
        <item x="91"/>
        <item x="59"/>
        <item x="74"/>
        <item x="85"/>
        <item x="86"/>
        <item x="87"/>
        <item x="50"/>
        <item x="118"/>
        <item x="97"/>
        <item x="146"/>
        <item x="147"/>
        <item x="88"/>
        <item x="11"/>
        <item x="119"/>
        <item x="24"/>
        <item x="25"/>
        <item x="131"/>
        <item x="71"/>
        <item x="128"/>
        <item x="54"/>
        <item x="12"/>
        <item x="75"/>
        <item x="98"/>
        <item x="94"/>
        <item x="26"/>
        <item x="132"/>
        <item x="133"/>
        <item x="79"/>
        <item x="20"/>
        <item x="138"/>
        <item x="109"/>
        <item x="42"/>
        <item x="55"/>
        <item x="115"/>
        <item x="139"/>
        <item x="56"/>
        <item x="43"/>
        <item x="51"/>
        <item x="80"/>
        <item x="134"/>
        <item x="60"/>
        <item x="9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56" name="Order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362BBF-78EE-4DAB-B42D-2FAD4917893E}"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9" firstHeaderRow="1" firstDataRow="1" firstDataCol="1"/>
  <pivotFields count="10">
    <pivotField showAll="0"/>
    <pivotField showAll="0"/>
    <pivotField axis="axisRow" showAll="0">
      <items count="6">
        <item x="2"/>
        <item x="4"/>
        <item x="1"/>
        <item x="3"/>
        <item x="0"/>
        <item t="default"/>
      </items>
    </pivotField>
    <pivotField showAll="0"/>
    <pivotField showAll="0"/>
    <pivotField showAll="0"/>
    <pivotField showAll="0"/>
    <pivotField numFmtId="164" showAll="0">
      <items count="149">
        <item x="99"/>
        <item x="65"/>
        <item x="27"/>
        <item x="140"/>
        <item x="0"/>
        <item x="52"/>
        <item x="76"/>
        <item x="77"/>
        <item x="35"/>
        <item x="135"/>
        <item x="28"/>
        <item x="1"/>
        <item x="33"/>
        <item x="124"/>
        <item x="36"/>
        <item x="100"/>
        <item x="57"/>
        <item x="141"/>
        <item x="37"/>
        <item x="129"/>
        <item x="120"/>
        <item x="2"/>
        <item x="66"/>
        <item x="44"/>
        <item x="89"/>
        <item x="29"/>
        <item x="113"/>
        <item x="104"/>
        <item x="93"/>
        <item x="61"/>
        <item x="105"/>
        <item x="45"/>
        <item x="38"/>
        <item x="81"/>
        <item x="142"/>
        <item x="7"/>
        <item x="30"/>
        <item x="143"/>
        <item x="136"/>
        <item x="13"/>
        <item x="106"/>
        <item x="58"/>
        <item x="14"/>
        <item x="137"/>
        <item x="15"/>
        <item x="8"/>
        <item x="107"/>
        <item x="46"/>
        <item x="144"/>
        <item x="102"/>
        <item x="67"/>
        <item x="116"/>
        <item x="68"/>
        <item x="31"/>
        <item x="21"/>
        <item x="125"/>
        <item x="145"/>
        <item x="39"/>
        <item x="32"/>
        <item x="16"/>
        <item x="114"/>
        <item x="22"/>
        <item x="110"/>
        <item x="40"/>
        <item x="72"/>
        <item x="17"/>
        <item x="95"/>
        <item x="103"/>
        <item x="108"/>
        <item x="18"/>
        <item x="90"/>
        <item x="47"/>
        <item x="69"/>
        <item x="121"/>
        <item x="48"/>
        <item x="82"/>
        <item x="101"/>
        <item x="117"/>
        <item x="34"/>
        <item x="53"/>
        <item x="19"/>
        <item x="70"/>
        <item x="73"/>
        <item x="49"/>
        <item x="122"/>
        <item x="3"/>
        <item x="130"/>
        <item x="123"/>
        <item x="23"/>
        <item x="9"/>
        <item x="62"/>
        <item x="78"/>
        <item x="96"/>
        <item x="4"/>
        <item x="41"/>
        <item x="83"/>
        <item x="84"/>
        <item x="10"/>
        <item x="5"/>
        <item x="126"/>
        <item x="127"/>
        <item x="111"/>
        <item x="6"/>
        <item x="112"/>
        <item x="63"/>
        <item x="64"/>
        <item x="91"/>
        <item x="59"/>
        <item x="74"/>
        <item x="85"/>
        <item x="86"/>
        <item x="87"/>
        <item x="50"/>
        <item x="118"/>
        <item x="97"/>
        <item x="146"/>
        <item x="147"/>
        <item x="88"/>
        <item x="11"/>
        <item x="119"/>
        <item x="24"/>
        <item x="25"/>
        <item x="131"/>
        <item x="71"/>
        <item x="128"/>
        <item x="54"/>
        <item x="12"/>
        <item x="75"/>
        <item x="98"/>
        <item x="94"/>
        <item x="26"/>
        <item x="132"/>
        <item x="133"/>
        <item x="79"/>
        <item x="20"/>
        <item x="138"/>
        <item x="109"/>
        <item x="42"/>
        <item x="55"/>
        <item x="115"/>
        <item x="139"/>
        <item x="56"/>
        <item x="43"/>
        <item x="51"/>
        <item x="80"/>
        <item x="134"/>
        <item x="60"/>
        <item x="92"/>
        <item t="default"/>
      </items>
    </pivotField>
    <pivotField dataField="1" showAll="0"/>
    <pivotField numFmtId="22" showAll="0"/>
  </pivotFields>
  <rowFields count="1">
    <field x="2"/>
  </rowFields>
  <rowItems count="6">
    <i>
      <x/>
    </i>
    <i>
      <x v="1"/>
    </i>
    <i>
      <x v="2"/>
    </i>
    <i>
      <x v="3"/>
    </i>
    <i>
      <x v="4"/>
    </i>
    <i t="grand">
      <x/>
    </i>
  </rowItems>
  <colItems count="1">
    <i/>
  </colItems>
  <dataFields count="1">
    <dataField name="Average of Profit" fld="8" subtotal="average" baseField="0" baseItem="0"/>
  </dataField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B2D6A5-78CF-4D53-8B29-5C80C134552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9" firstHeaderRow="0" firstDataRow="1" firstDataCol="1"/>
  <pivotFields count="10">
    <pivotField showAll="0"/>
    <pivotField showAll="0"/>
    <pivotField showAll="0"/>
    <pivotField axis="axisRow" showAll="0">
      <items count="6">
        <item x="1"/>
        <item x="3"/>
        <item x="0"/>
        <item x="2"/>
        <item x="4"/>
        <item t="default"/>
      </items>
    </pivotField>
    <pivotField dataField="1" showAll="0"/>
    <pivotField showAll="0"/>
    <pivotField showAll="0"/>
    <pivotField numFmtId="164" showAll="0">
      <items count="149">
        <item x="99"/>
        <item x="65"/>
        <item x="27"/>
        <item x="140"/>
        <item x="0"/>
        <item x="52"/>
        <item x="76"/>
        <item x="77"/>
        <item x="35"/>
        <item x="135"/>
        <item x="28"/>
        <item x="1"/>
        <item x="33"/>
        <item x="124"/>
        <item x="36"/>
        <item x="100"/>
        <item x="57"/>
        <item x="141"/>
        <item x="37"/>
        <item x="129"/>
        <item x="120"/>
        <item x="2"/>
        <item x="66"/>
        <item x="44"/>
        <item x="89"/>
        <item x="29"/>
        <item x="113"/>
        <item x="104"/>
        <item x="93"/>
        <item x="61"/>
        <item x="105"/>
        <item x="45"/>
        <item x="38"/>
        <item x="81"/>
        <item x="142"/>
        <item x="7"/>
        <item x="30"/>
        <item x="143"/>
        <item x="136"/>
        <item x="13"/>
        <item x="106"/>
        <item x="58"/>
        <item x="14"/>
        <item x="137"/>
        <item x="15"/>
        <item x="8"/>
        <item x="107"/>
        <item x="46"/>
        <item x="144"/>
        <item x="102"/>
        <item x="67"/>
        <item x="116"/>
        <item x="68"/>
        <item x="31"/>
        <item x="21"/>
        <item x="125"/>
        <item x="145"/>
        <item x="39"/>
        <item x="32"/>
        <item x="16"/>
        <item x="114"/>
        <item x="22"/>
        <item x="110"/>
        <item x="40"/>
        <item x="72"/>
        <item x="17"/>
        <item x="95"/>
        <item x="103"/>
        <item x="108"/>
        <item x="18"/>
        <item x="90"/>
        <item x="47"/>
        <item x="69"/>
        <item x="121"/>
        <item x="48"/>
        <item x="82"/>
        <item x="101"/>
        <item x="117"/>
        <item x="34"/>
        <item x="53"/>
        <item x="19"/>
        <item x="70"/>
        <item x="73"/>
        <item x="49"/>
        <item x="122"/>
        <item x="3"/>
        <item x="130"/>
        <item x="123"/>
        <item x="23"/>
        <item x="9"/>
        <item x="62"/>
        <item x="78"/>
        <item x="96"/>
        <item x="4"/>
        <item x="41"/>
        <item x="83"/>
        <item x="84"/>
        <item x="10"/>
        <item x="5"/>
        <item x="126"/>
        <item x="127"/>
        <item x="111"/>
        <item x="6"/>
        <item x="112"/>
        <item x="63"/>
        <item x="64"/>
        <item x="91"/>
        <item x="59"/>
        <item x="74"/>
        <item x="85"/>
        <item x="86"/>
        <item x="87"/>
        <item x="50"/>
        <item x="118"/>
        <item x="97"/>
        <item x="146"/>
        <item x="147"/>
        <item x="88"/>
        <item x="11"/>
        <item x="119"/>
        <item x="24"/>
        <item x="25"/>
        <item x="131"/>
        <item x="71"/>
        <item x="128"/>
        <item x="54"/>
        <item x="12"/>
        <item x="75"/>
        <item x="98"/>
        <item x="94"/>
        <item x="26"/>
        <item x="132"/>
        <item x="133"/>
        <item x="79"/>
        <item x="20"/>
        <item x="138"/>
        <item x="109"/>
        <item x="42"/>
        <item x="55"/>
        <item x="115"/>
        <item x="139"/>
        <item x="56"/>
        <item x="43"/>
        <item x="51"/>
        <item x="80"/>
        <item x="134"/>
        <item x="60"/>
        <item x="92"/>
        <item t="default"/>
      </items>
    </pivotField>
    <pivotField dataField="1" showAll="0"/>
    <pivotField numFmtId="22" showAll="0"/>
  </pivotFields>
  <rowFields count="1">
    <field x="3"/>
  </rowFields>
  <rowItems count="6">
    <i>
      <x/>
    </i>
    <i>
      <x v="1"/>
    </i>
    <i>
      <x v="2"/>
    </i>
    <i>
      <x v="3"/>
    </i>
    <i>
      <x v="4"/>
    </i>
    <i t="grand">
      <x/>
    </i>
  </rowItems>
  <colFields count="1">
    <field x="-2"/>
  </colFields>
  <colItems count="2">
    <i>
      <x/>
    </i>
    <i i="1">
      <x v="1"/>
    </i>
  </colItems>
  <dataFields count="2">
    <dataField name="Sum of Profit" fld="8" baseField="0" baseItem="0"/>
    <dataField name="Sum of Sales" fld="4"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2F29EC-739B-40BD-8721-9A23FD8E8F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2">
    <pivotField showAll="0"/>
    <pivotField showAll="0"/>
    <pivotField axis="axisRow" showAll="0">
      <items count="6">
        <item x="2"/>
        <item x="4"/>
        <item x="1"/>
        <item x="3"/>
        <item x="0"/>
        <item t="default"/>
      </items>
    </pivotField>
    <pivotField showAll="0"/>
    <pivotField showAll="0">
      <items count="201">
        <item x="170"/>
        <item x="178"/>
        <item x="6"/>
        <item x="100"/>
        <item x="136"/>
        <item x="133"/>
        <item x="21"/>
        <item x="190"/>
        <item x="75"/>
        <item x="66"/>
        <item x="182"/>
        <item x="57"/>
        <item x="97"/>
        <item x="22"/>
        <item x="184"/>
        <item x="145"/>
        <item x="102"/>
        <item x="140"/>
        <item x="27"/>
        <item x="103"/>
        <item x="197"/>
        <item x="168"/>
        <item x="195"/>
        <item x="1"/>
        <item x="113"/>
        <item x="159"/>
        <item x="19"/>
        <item x="71"/>
        <item x="192"/>
        <item x="42"/>
        <item x="144"/>
        <item x="80"/>
        <item x="62"/>
        <item x="169"/>
        <item x="20"/>
        <item x="139"/>
        <item x="148"/>
        <item x="181"/>
        <item x="107"/>
        <item x="120"/>
        <item x="82"/>
        <item x="155"/>
        <item x="64"/>
        <item x="183"/>
        <item x="185"/>
        <item x="150"/>
        <item x="117"/>
        <item x="179"/>
        <item x="199"/>
        <item x="29"/>
        <item x="46"/>
        <item x="59"/>
        <item x="48"/>
        <item x="49"/>
        <item x="176"/>
        <item x="173"/>
        <item x="77"/>
        <item x="50"/>
        <item x="10"/>
        <item x="58"/>
        <item x="96"/>
        <item x="138"/>
        <item x="109"/>
        <item x="114"/>
        <item x="11"/>
        <item x="44"/>
        <item x="126"/>
        <item x="118"/>
        <item x="81"/>
        <item x="191"/>
        <item x="2"/>
        <item x="89"/>
        <item x="108"/>
        <item x="67"/>
        <item x="189"/>
        <item x="105"/>
        <item x="141"/>
        <item x="167"/>
        <item x="8"/>
        <item x="47"/>
        <item x="72"/>
        <item x="4"/>
        <item x="18"/>
        <item x="124"/>
        <item x="32"/>
        <item x="188"/>
        <item x="79"/>
        <item x="74"/>
        <item x="106"/>
        <item x="161"/>
        <item x="91"/>
        <item x="40"/>
        <item x="7"/>
        <item x="39"/>
        <item x="163"/>
        <item x="88"/>
        <item x="37"/>
        <item x="111"/>
        <item x="125"/>
        <item x="194"/>
        <item x="147"/>
        <item x="122"/>
        <item x="172"/>
        <item x="132"/>
        <item x="104"/>
        <item x="68"/>
        <item x="69"/>
        <item x="14"/>
        <item x="156"/>
        <item x="51"/>
        <item x="53"/>
        <item x="85"/>
        <item x="157"/>
        <item x="129"/>
        <item x="41"/>
        <item x="110"/>
        <item x="134"/>
        <item x="175"/>
        <item x="166"/>
        <item x="15"/>
        <item x="116"/>
        <item x="98"/>
        <item x="112"/>
        <item x="90"/>
        <item x="34"/>
        <item x="158"/>
        <item x="54"/>
        <item x="3"/>
        <item x="52"/>
        <item x="193"/>
        <item x="56"/>
        <item x="101"/>
        <item x="28"/>
        <item x="186"/>
        <item x="73"/>
        <item x="43"/>
        <item x="198"/>
        <item x="162"/>
        <item x="180"/>
        <item x="143"/>
        <item x="123"/>
        <item x="131"/>
        <item x="31"/>
        <item x="142"/>
        <item x="17"/>
        <item x="165"/>
        <item x="177"/>
        <item x="94"/>
        <item x="84"/>
        <item x="187"/>
        <item x="65"/>
        <item x="63"/>
        <item x="127"/>
        <item x="61"/>
        <item x="38"/>
        <item x="36"/>
        <item x="92"/>
        <item x="130"/>
        <item x="70"/>
        <item x="78"/>
        <item x="153"/>
        <item x="93"/>
        <item x="160"/>
        <item x="164"/>
        <item x="13"/>
        <item x="83"/>
        <item x="55"/>
        <item x="33"/>
        <item x="135"/>
        <item x="24"/>
        <item x="154"/>
        <item x="196"/>
        <item x="119"/>
        <item x="26"/>
        <item x="0"/>
        <item x="16"/>
        <item x="87"/>
        <item x="60"/>
        <item x="137"/>
        <item x="76"/>
        <item x="121"/>
        <item x="128"/>
        <item x="174"/>
        <item x="9"/>
        <item x="5"/>
        <item x="23"/>
        <item x="152"/>
        <item x="115"/>
        <item x="151"/>
        <item x="171"/>
        <item x="45"/>
        <item x="30"/>
        <item x="35"/>
        <item x="146"/>
        <item x="86"/>
        <item x="25"/>
        <item x="12"/>
        <item x="149"/>
        <item x="99"/>
        <item x="95"/>
        <item t="default"/>
      </items>
    </pivotField>
    <pivotField showAll="0"/>
    <pivotField showAll="0"/>
    <pivotField numFmtId="164" showAll="0">
      <items count="149">
        <item x="99"/>
        <item x="65"/>
        <item x="27"/>
        <item x="140"/>
        <item x="0"/>
        <item x="52"/>
        <item x="76"/>
        <item x="77"/>
        <item x="35"/>
        <item x="135"/>
        <item x="28"/>
        <item x="1"/>
        <item x="33"/>
        <item x="124"/>
        <item x="36"/>
        <item x="100"/>
        <item x="57"/>
        <item x="141"/>
        <item x="37"/>
        <item x="129"/>
        <item x="120"/>
        <item x="2"/>
        <item x="66"/>
        <item x="44"/>
        <item x="89"/>
        <item x="29"/>
        <item x="113"/>
        <item x="104"/>
        <item x="93"/>
        <item x="61"/>
        <item x="105"/>
        <item x="45"/>
        <item x="38"/>
        <item x="81"/>
        <item x="142"/>
        <item x="7"/>
        <item x="30"/>
        <item x="143"/>
        <item x="136"/>
        <item x="13"/>
        <item x="106"/>
        <item x="58"/>
        <item x="14"/>
        <item x="137"/>
        <item x="15"/>
        <item x="8"/>
        <item x="107"/>
        <item x="46"/>
        <item x="144"/>
        <item x="102"/>
        <item x="67"/>
        <item x="116"/>
        <item x="68"/>
        <item x="31"/>
        <item x="21"/>
        <item x="125"/>
        <item x="145"/>
        <item x="39"/>
        <item x="32"/>
        <item x="16"/>
        <item x="114"/>
        <item x="22"/>
        <item x="110"/>
        <item x="40"/>
        <item x="72"/>
        <item x="17"/>
        <item x="95"/>
        <item x="103"/>
        <item x="108"/>
        <item x="18"/>
        <item x="90"/>
        <item x="47"/>
        <item x="69"/>
        <item x="121"/>
        <item x="48"/>
        <item x="82"/>
        <item x="101"/>
        <item x="117"/>
        <item x="34"/>
        <item x="53"/>
        <item x="19"/>
        <item x="70"/>
        <item x="73"/>
        <item x="49"/>
        <item x="122"/>
        <item x="3"/>
        <item x="130"/>
        <item x="123"/>
        <item x="23"/>
        <item x="9"/>
        <item x="62"/>
        <item x="78"/>
        <item x="96"/>
        <item x="4"/>
        <item x="41"/>
        <item x="83"/>
        <item x="84"/>
        <item x="10"/>
        <item x="5"/>
        <item x="126"/>
        <item x="127"/>
        <item x="111"/>
        <item x="6"/>
        <item x="112"/>
        <item x="63"/>
        <item x="64"/>
        <item x="91"/>
        <item x="59"/>
        <item x="74"/>
        <item x="85"/>
        <item x="86"/>
        <item x="87"/>
        <item x="50"/>
        <item x="118"/>
        <item x="97"/>
        <item x="146"/>
        <item x="147"/>
        <item x="88"/>
        <item x="11"/>
        <item x="119"/>
        <item x="24"/>
        <item x="25"/>
        <item x="131"/>
        <item x="71"/>
        <item x="128"/>
        <item x="54"/>
        <item x="12"/>
        <item x="75"/>
        <item x="98"/>
        <item x="94"/>
        <item x="26"/>
        <item x="132"/>
        <item x="133"/>
        <item x="79"/>
        <item x="20"/>
        <item x="138"/>
        <item x="109"/>
        <item x="42"/>
        <item x="55"/>
        <item x="115"/>
        <item x="139"/>
        <item x="56"/>
        <item x="43"/>
        <item x="51"/>
        <item x="80"/>
        <item x="134"/>
        <item x="60"/>
        <item x="92"/>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h="1" x="0"/>
        <item x="1"/>
        <item x="2"/>
        <item h="1" x="3"/>
        <item t="default"/>
      </items>
    </pivotField>
  </pivotFields>
  <rowFields count="1">
    <field x="2"/>
  </rowFields>
  <rowItems count="6">
    <i>
      <x/>
    </i>
    <i>
      <x v="1"/>
    </i>
    <i>
      <x v="2"/>
    </i>
    <i>
      <x v="3"/>
    </i>
    <i>
      <x v="4"/>
    </i>
    <i t="grand">
      <x/>
    </i>
  </rowItems>
  <colItems count="1">
    <i/>
  </colItems>
  <dataFields count="1">
    <dataField name="Sum of Profit" fld="8" baseField="0" baseItem="0"/>
  </dataFields>
  <chartFormats count="12">
    <chartFormat chart="6"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2" count="1" selected="0">
            <x v="0"/>
          </reference>
        </references>
      </pivotArea>
    </chartFormat>
    <chartFormat chart="17" format="10">
      <pivotArea type="data" outline="0" fieldPosition="0">
        <references count="2">
          <reference field="4294967294" count="1" selected="0">
            <x v="0"/>
          </reference>
          <reference field="2" count="1" selected="0">
            <x v="1"/>
          </reference>
        </references>
      </pivotArea>
    </chartFormat>
    <chartFormat chart="17" format="11">
      <pivotArea type="data" outline="0" fieldPosition="0">
        <references count="2">
          <reference field="4294967294" count="1" selected="0">
            <x v="0"/>
          </reference>
          <reference field="2" count="1" selected="0">
            <x v="2"/>
          </reference>
        </references>
      </pivotArea>
    </chartFormat>
    <chartFormat chart="17" format="12">
      <pivotArea type="data" outline="0" fieldPosition="0">
        <references count="2">
          <reference field="4294967294" count="1" selected="0">
            <x v="0"/>
          </reference>
          <reference field="2" count="1" selected="0">
            <x v="3"/>
          </reference>
        </references>
      </pivotArea>
    </chartFormat>
    <chartFormat chart="17" format="13">
      <pivotArea type="data" outline="0" fieldPosition="0">
        <references count="2">
          <reference field="4294967294" count="1" selected="0">
            <x v="0"/>
          </reference>
          <reference field="2" count="1" selected="0">
            <x v="4"/>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2"/>
          </reference>
        </references>
      </pivotArea>
    </chartFormat>
    <chartFormat chart="6" format="5">
      <pivotArea type="data" outline="0" fieldPosition="0">
        <references count="2">
          <reference field="4294967294" count="1" selected="0">
            <x v="0"/>
          </reference>
          <reference field="2" count="1" selected="0">
            <x v="3"/>
          </reference>
        </references>
      </pivotArea>
    </chartFormat>
    <chartFormat chart="6" format="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D42078-75AE-449F-9EFC-A9E06A5CCC9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13" firstHeaderRow="1" firstDataRow="1" firstDataCol="1"/>
  <pivotFields count="12">
    <pivotField showAll="0"/>
    <pivotField showAll="0"/>
    <pivotField showAll="0"/>
    <pivotField showAll="0"/>
    <pivotField dataField="1" showAll="0"/>
    <pivotField showAll="0"/>
    <pivotField showAll="0"/>
    <pivotField axis="axisRow" numFmtId="164" showAll="0">
      <items count="149">
        <item x="99"/>
        <item x="65"/>
        <item x="27"/>
        <item x="140"/>
        <item x="0"/>
        <item x="52"/>
        <item x="76"/>
        <item x="77"/>
        <item x="35"/>
        <item x="135"/>
        <item x="28"/>
        <item x="1"/>
        <item x="33"/>
        <item x="124"/>
        <item x="36"/>
        <item x="100"/>
        <item x="57"/>
        <item x="141"/>
        <item x="37"/>
        <item x="129"/>
        <item x="120"/>
        <item x="2"/>
        <item x="66"/>
        <item x="44"/>
        <item x="89"/>
        <item x="29"/>
        <item x="113"/>
        <item x="104"/>
        <item x="93"/>
        <item x="61"/>
        <item x="105"/>
        <item x="45"/>
        <item x="38"/>
        <item x="81"/>
        <item x="142"/>
        <item x="7"/>
        <item x="30"/>
        <item x="143"/>
        <item x="136"/>
        <item x="13"/>
        <item x="106"/>
        <item x="58"/>
        <item x="14"/>
        <item x="137"/>
        <item x="15"/>
        <item x="8"/>
        <item x="107"/>
        <item x="46"/>
        <item x="144"/>
        <item x="102"/>
        <item x="67"/>
        <item x="116"/>
        <item x="68"/>
        <item x="31"/>
        <item x="21"/>
        <item x="125"/>
        <item x="145"/>
        <item x="39"/>
        <item x="32"/>
        <item x="16"/>
        <item x="114"/>
        <item x="22"/>
        <item x="110"/>
        <item x="40"/>
        <item x="72"/>
        <item x="17"/>
        <item x="95"/>
        <item x="103"/>
        <item x="108"/>
        <item x="18"/>
        <item x="90"/>
        <item x="47"/>
        <item x="69"/>
        <item x="121"/>
        <item x="48"/>
        <item x="82"/>
        <item x="101"/>
        <item x="117"/>
        <item x="34"/>
        <item x="53"/>
        <item x="19"/>
        <item x="70"/>
        <item x="73"/>
        <item x="49"/>
        <item x="122"/>
        <item x="3"/>
        <item x="130"/>
        <item x="123"/>
        <item x="23"/>
        <item x="9"/>
        <item x="62"/>
        <item x="78"/>
        <item x="96"/>
        <item x="4"/>
        <item x="41"/>
        <item x="83"/>
        <item x="84"/>
        <item x="10"/>
        <item x="5"/>
        <item x="126"/>
        <item x="127"/>
        <item x="111"/>
        <item x="6"/>
        <item x="112"/>
        <item x="63"/>
        <item x="64"/>
        <item x="91"/>
        <item x="59"/>
        <item x="74"/>
        <item x="85"/>
        <item x="86"/>
        <item x="87"/>
        <item x="50"/>
        <item x="118"/>
        <item x="97"/>
        <item x="146"/>
        <item x="147"/>
        <item x="88"/>
        <item x="11"/>
        <item x="119"/>
        <item x="24"/>
        <item x="25"/>
        <item x="131"/>
        <item x="71"/>
        <item x="128"/>
        <item x="54"/>
        <item x="12"/>
        <item x="75"/>
        <item x="98"/>
        <item x="94"/>
        <item x="26"/>
        <item x="132"/>
        <item x="133"/>
        <item x="79"/>
        <item x="20"/>
        <item x="138"/>
        <item x="109"/>
        <item x="42"/>
        <item x="55"/>
        <item x="115"/>
        <item x="139"/>
        <item x="56"/>
        <item x="43"/>
        <item x="51"/>
        <item x="80"/>
        <item x="134"/>
        <item x="60"/>
        <item x="92"/>
        <item t="default"/>
      </items>
    </pivotField>
    <pivotField showAll="0"/>
    <pivotField axis="axisRow" showAll="0">
      <items count="15">
        <item h="1" sd="0" x="0"/>
        <item sd="0" x="1"/>
        <item sd="0" x="2"/>
        <item sd="0" x="3"/>
        <item sd="0" x="4"/>
        <item sd="0" x="5"/>
        <item sd="0" x="6"/>
        <item sd="0" x="7"/>
        <item sd="0" x="8"/>
        <item sd="0" x="9"/>
        <item sd="0" x="10"/>
        <item sd="0" x="11"/>
        <item sd="0" x="12"/>
        <item h="1" sd="0" x="13"/>
        <item t="default" sd="0"/>
      </items>
    </pivotField>
    <pivotField name="Quarters" showAll="0">
      <items count="7">
        <item sd="0" x="0"/>
        <item sd="0" x="1"/>
        <item sd="0" x="2"/>
        <item sd="0" x="3"/>
        <item sd="0" x="4"/>
        <item sd="0" x="5"/>
        <item t="default" sd="0"/>
      </items>
    </pivotField>
    <pivotField showAll="0">
      <items count="5">
        <item sd="0" x="0"/>
        <item sd="0" x="1"/>
        <item sd="0" x="2"/>
        <item sd="0" x="3"/>
        <item t="default"/>
      </items>
    </pivotField>
  </pivotFields>
  <rowFields count="2">
    <field x="9"/>
    <field x="7"/>
  </rowFields>
  <rowItems count="10">
    <i>
      <x v="4"/>
    </i>
    <i>
      <x v="5"/>
    </i>
    <i>
      <x v="6"/>
    </i>
    <i>
      <x v="7"/>
    </i>
    <i>
      <x v="8"/>
    </i>
    <i>
      <x v="9"/>
    </i>
    <i>
      <x v="10"/>
    </i>
    <i>
      <x v="11"/>
    </i>
    <i>
      <x v="12"/>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8"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E56D227B-8467-468D-A92E-7B1637201B49}" sourceName="Product_Category">
  <pivotTables>
    <pivotTable tabId="8" name="PivotTable2"/>
  </pivotTables>
  <data>
    <tabular pivotCacheId="1333375017">
      <items count="5">
        <i x="1" s="1"/>
        <i x="3"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16C2CD-2796-47C8-BEAE-42BAC32628AD}" sourceName="Region">
  <pivotTables>
    <pivotTable tabId="3" name="PivotTable1"/>
  </pivotTables>
  <data>
    <tabular pivotCacheId="1587687144">
      <items count="5">
        <i x="2" s="1"/>
        <i x="4"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A52D6B8-20F2-4BCC-B27A-168115B8BEA7}" sourceName="Product_Category">
  <pivotTables>
    <pivotTable tabId="3" name="PivotTable1"/>
  </pivotTables>
  <data>
    <tabular pivotCacheId="1587687144">
      <items count="5">
        <i x="1" s="1"/>
        <i x="3"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2D928E9-7189-44F5-90E1-8E15087F776D}" cache="Slicer_Region" caption="Region" rowHeight="234950"/>
  <slicer name="Product_Category 2" xr10:uid="{F5339DE4-AC6E-4009-A12C-DDD4AD5DFB38}" cache="Slicer_Product_Category"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6F7415-1DB1-4D2B-A0D7-26E1FE537701}"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548D3314-88C8-4D8C-ABF8-9CFDB58594D7}" cache="Slicer_Product_Category1" caption="Product_Category"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6DDE1F-52A3-409F-B48C-5FBB55894DB7}" name="Table1" displayName="Table1" ref="A1:J202" totalsRowCount="1" headerRowDxfId="21" dataDxfId="20">
  <autoFilter ref="A1:J201" xr:uid="{1C6DDE1F-52A3-409F-B48C-5FBB55894DB7}"/>
  <sortState xmlns:xlrd2="http://schemas.microsoft.com/office/spreadsheetml/2017/richdata2" ref="A2:I201">
    <sortCondition ref="A1:A201"/>
  </sortState>
  <tableColumns count="10">
    <tableColumn id="1" xr3:uid="{7B576880-D432-4B57-A5D3-E9FC6E3E6D73}" name="Customer_ID" totalsRowLabel="Total" dataDxfId="19" totalsRowDxfId="18"/>
    <tableColumn id="2" xr3:uid="{7504337C-9DD9-4A13-9D1D-B504E2C34E86}" name="Customer_Name" dataDxfId="17" totalsRowDxfId="16"/>
    <tableColumn id="3" xr3:uid="{21DF269D-D585-4782-9D39-120685BFFD8F}" name="Region" dataDxfId="15" totalsRowDxfId="14"/>
    <tableColumn id="4" xr3:uid="{F7AEF81B-6809-4008-BB91-9EB9B2B80753}" name="Product_Category" dataDxfId="13" totalsRowDxfId="12"/>
    <tableColumn id="5" xr3:uid="{9F89D031-732D-42E6-BBFE-7632811251BE}" name="Sales" totalsRowFunction="sum" dataDxfId="11" totalsRowDxfId="10"/>
    <tableColumn id="6" xr3:uid="{1C617217-6031-444E-9D1F-F947D3B0174B}" name="Quantity" totalsRowFunction="sum" dataDxfId="9" totalsRowDxfId="8"/>
    <tableColumn id="7" xr3:uid="{C8E82D1C-AD77-42D9-8A86-1183E9490DF6}" name="Discount" totalsRowFunction="average" dataDxfId="7" totalsRowDxfId="6"/>
    <tableColumn id="8" xr3:uid="{67D4646A-CD18-47A8-B33F-1EF6FEBD6198}" name="Order_Date" dataDxfId="5" totalsRowDxfId="4"/>
    <tableColumn id="9" xr3:uid="{25916935-7F4D-40C0-BDEC-DCE6E4822708}" name="Profit" totalsRowFunction="sum" dataDxfId="3" totalsRowDxfId="2"/>
    <tableColumn id="10" xr3:uid="{BEDB0CB7-3D0C-4327-B32B-54FD0DF2FFA7}" name="Time" dataDxfId="1" totalsRowDxfId="0">
      <calculatedColumnFormula>NOW()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727568C-80A9-4937-B6D7-4342FAB0B736}" sourceName="Order_Date">
  <pivotTables>
    <pivotTable tabId="7" name="PivotTable2"/>
  </pivotTables>
  <state minimalRefreshVersion="6" lastRefreshVersion="6" pivotCacheId="1587687144" filterType="dateBetween">
    <selection startDate="2024-01-01T00:00:00" endDate="2024-12-31T00:00:00"/>
    <bounds startDate="2024-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8C4EF383-CBB6-4089-A552-13A295FDD29C}" sourceName="Order_Date">
  <pivotTables>
    <pivotTable tabId="14" name="PivotTable2"/>
  </pivotTables>
  <state minimalRefreshVersion="6" lastRefreshVersion="6" pivotCacheId="190864603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0BE4CD6-A57A-4F95-8D1E-59BB1957D6D1}" cache="NativeTimeline_Order_Date" caption="Order_Date" level="0" selectionLevel="0"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ADCA5CA2-D3DB-43BC-A2F0-9FB2DD690D41}" cache="NativeTimeline_Order_Date1" caption="Order_Date" level="1" selectionLevel="2" scrollPosition="2024-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6997209-399D-4090-B0FF-57F30E7B18F2}" cache="NativeTimeline_Order_Date" caption="Order_Date" level="0" selectionLevel="0" scrollPosition="2024-01-01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11/relationships/timeline" Target="../timelines/timeline3.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2"/>
  <sheetViews>
    <sheetView topLeftCell="A2" workbookViewId="0">
      <selection activeCell="D16" sqref="D16"/>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14.4" x14ac:dyDescent="0.3">
      <c r="A2" s="20"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1"/>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1"/>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1"/>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1"/>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1"/>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1"/>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1"/>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1"/>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1"/>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1"/>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1"/>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1"/>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1"/>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1"/>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1"/>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1"/>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1"/>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1"/>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1"/>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1"/>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1"/>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1"/>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1"/>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1"/>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1"/>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1"/>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1"/>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1"/>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row r="921" spans="1:26" ht="15.75" customHeight="1" x14ac:dyDescent="0.3"/>
    <row r="922" spans="1:26" ht="15.75" customHeight="1" x14ac:dyDescent="0.3"/>
    <row r="923" spans="1:26" ht="15.75" customHeight="1" x14ac:dyDescent="0.3"/>
    <row r="924" spans="1:26" ht="15.75" customHeight="1" x14ac:dyDescent="0.3"/>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sheetData>
  <mergeCells count="1">
    <mergeCell ref="A2:A30"/>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N22" sqref="N22"/>
    </sheetView>
  </sheetViews>
  <sheetFormatPr defaultColWidth="14.44140625" defaultRowHeight="15" customHeight="1" x14ac:dyDescent="0.3"/>
  <cols>
    <col min="1" max="1" width="14.109375" bestFit="1" customWidth="1"/>
    <col min="2" max="2" width="17.44140625" bestFit="1" customWidth="1"/>
    <col min="3" max="3" width="9" bestFit="1" customWidth="1"/>
    <col min="4" max="4" width="18.5546875" bestFit="1" customWidth="1"/>
    <col min="5" max="5" width="10" bestFit="1" customWidth="1"/>
    <col min="6" max="7" width="10.5546875" bestFit="1" customWidth="1"/>
    <col min="8" max="8" width="12.88671875" bestFit="1" customWidth="1"/>
    <col min="9" max="9" width="9" bestFit="1" customWidth="1"/>
    <col min="10" max="10" width="13.6640625" bestFit="1" customWidth="1"/>
    <col min="11" max="11" width="8.6640625" customWidth="1"/>
    <col min="12" max="12" width="5.77734375" customWidth="1"/>
    <col min="13" max="13" width="14.88671875" bestFit="1" customWidth="1"/>
    <col min="14" max="14" width="9" bestFit="1" customWidth="1"/>
    <col min="15" max="16" width="8" bestFit="1" customWidth="1"/>
    <col min="17" max="26" width="8.6640625" customWidth="1"/>
  </cols>
  <sheetData>
    <row r="1" spans="1:26" ht="14.4" x14ac:dyDescent="0.3">
      <c r="A1" s="3" t="s">
        <v>2</v>
      </c>
      <c r="B1" s="3" t="s">
        <v>3</v>
      </c>
      <c r="C1" s="3" t="s">
        <v>4</v>
      </c>
      <c r="D1" s="3" t="s">
        <v>5</v>
      </c>
      <c r="E1" s="3" t="s">
        <v>6</v>
      </c>
      <c r="F1" s="3" t="s">
        <v>7</v>
      </c>
      <c r="G1" s="3" t="s">
        <v>8</v>
      </c>
      <c r="H1" s="3" t="s">
        <v>9</v>
      </c>
      <c r="I1" s="3" t="s">
        <v>10</v>
      </c>
      <c r="J1" s="3" t="s">
        <v>119</v>
      </c>
      <c r="K1" s="3"/>
      <c r="L1" s="3"/>
      <c r="M1" s="3"/>
      <c r="N1" s="3"/>
      <c r="O1" s="3"/>
      <c r="P1" s="3"/>
      <c r="Q1" s="3"/>
      <c r="R1" s="3"/>
      <c r="S1" s="3"/>
      <c r="T1" s="3"/>
      <c r="U1" s="3"/>
      <c r="V1" s="3"/>
      <c r="W1" s="3"/>
      <c r="X1" s="3"/>
      <c r="Y1" s="3"/>
      <c r="Z1" s="3"/>
    </row>
    <row r="2" spans="1:26" ht="14.4" x14ac:dyDescent="0.3">
      <c r="A2" s="4" t="s">
        <v>30</v>
      </c>
      <c r="B2" s="4" t="s">
        <v>31</v>
      </c>
      <c r="C2" s="4" t="s">
        <v>13</v>
      </c>
      <c r="D2" s="4" t="s">
        <v>23</v>
      </c>
      <c r="E2" s="4">
        <v>1317.53</v>
      </c>
      <c r="F2" s="4">
        <v>12</v>
      </c>
      <c r="G2" s="4">
        <v>0.05</v>
      </c>
      <c r="H2" s="5">
        <v>45398</v>
      </c>
      <c r="I2" s="4">
        <v>312.91000000000003</v>
      </c>
      <c r="J2" s="13">
        <f t="shared" ref="J2:J33" ca="1" si="0">NOW()</f>
        <v>46146.906177777775</v>
      </c>
    </row>
    <row r="3" spans="1:26" ht="14.4" x14ac:dyDescent="0.3">
      <c r="A3" s="4" t="s">
        <v>30</v>
      </c>
      <c r="B3" s="4" t="s">
        <v>47</v>
      </c>
      <c r="C3" s="4" t="s">
        <v>13</v>
      </c>
      <c r="D3" s="4" t="s">
        <v>14</v>
      </c>
      <c r="E3" s="4">
        <v>636.70000000000005</v>
      </c>
      <c r="F3" s="4">
        <v>4</v>
      </c>
      <c r="G3" s="4">
        <f>0.2</f>
        <v>0.2</v>
      </c>
      <c r="H3" s="5">
        <v>45411</v>
      </c>
      <c r="I3" s="4">
        <v>203.74</v>
      </c>
      <c r="J3" s="13">
        <f t="shared" ca="1" si="0"/>
        <v>46146.906177777775</v>
      </c>
    </row>
    <row r="4" spans="1:26" ht="14.4" x14ac:dyDescent="0.3">
      <c r="A4" s="4" t="s">
        <v>30</v>
      </c>
      <c r="B4" s="4" t="s">
        <v>49</v>
      </c>
      <c r="C4" s="4" t="s">
        <v>13</v>
      </c>
      <c r="D4" s="4" t="s">
        <v>29</v>
      </c>
      <c r="E4" s="4">
        <v>853.72</v>
      </c>
      <c r="F4" s="4">
        <v>5</v>
      </c>
      <c r="G4" s="4">
        <v>0.15</v>
      </c>
      <c r="H4" s="5">
        <v>45428</v>
      </c>
      <c r="I4" s="4">
        <v>253.98</v>
      </c>
      <c r="J4" s="13">
        <f t="shared" ca="1" si="0"/>
        <v>46146.906177777775</v>
      </c>
      <c r="L4" s="18"/>
      <c r="M4" s="16" t="s">
        <v>3</v>
      </c>
      <c r="N4" s="16" t="s">
        <v>6</v>
      </c>
      <c r="O4" s="16" t="s">
        <v>10</v>
      </c>
      <c r="P4" s="16" t="s">
        <v>7</v>
      </c>
    </row>
    <row r="5" spans="1:26" ht="14.4" x14ac:dyDescent="0.3">
      <c r="A5" s="4" t="s">
        <v>30</v>
      </c>
      <c r="B5" s="4" t="s">
        <v>47</v>
      </c>
      <c r="C5" s="4" t="s">
        <v>26</v>
      </c>
      <c r="D5" s="4" t="s">
        <v>29</v>
      </c>
      <c r="E5" s="4">
        <v>1077.92</v>
      </c>
      <c r="F5" s="4">
        <v>3</v>
      </c>
      <c r="G5" s="4">
        <v>0.05</v>
      </c>
      <c r="H5" s="5">
        <v>45608</v>
      </c>
      <c r="I5" s="4">
        <v>358.41</v>
      </c>
      <c r="J5" s="13">
        <f t="shared" ca="1" si="0"/>
        <v>46146.906177777775</v>
      </c>
      <c r="L5" s="14">
        <v>1</v>
      </c>
      <c r="M5" s="15" t="str">
        <f>INDEX(B2:B201,MATCH(N5,E2:E201,0))</f>
        <v>James Wilson</v>
      </c>
      <c r="N5" s="15">
        <f>LARGE(E2:E201,L5)</f>
        <v>1923.66</v>
      </c>
      <c r="O5" s="15">
        <f>INDEX(I2:I201,MATCH(N5,E2:E201,0))</f>
        <v>769.46</v>
      </c>
      <c r="P5" s="15">
        <f>INDEX(F2:F201,MATCH(N5,E2:E201,0))</f>
        <v>9</v>
      </c>
    </row>
    <row r="6" spans="1:26" ht="14.4" x14ac:dyDescent="0.3">
      <c r="A6" s="4" t="s">
        <v>30</v>
      </c>
      <c r="B6" s="4" t="s">
        <v>45</v>
      </c>
      <c r="C6" s="4" t="s">
        <v>13</v>
      </c>
      <c r="D6" s="4" t="s">
        <v>23</v>
      </c>
      <c r="E6" s="4">
        <v>894.55</v>
      </c>
      <c r="F6" s="4">
        <v>19</v>
      </c>
      <c r="G6" s="4">
        <v>0.2</v>
      </c>
      <c r="H6" s="5">
        <v>45625</v>
      </c>
      <c r="I6" s="4">
        <v>178.91</v>
      </c>
      <c r="J6" s="13">
        <f t="shared" ca="1" si="0"/>
        <v>46146.906177777775</v>
      </c>
      <c r="L6" s="14">
        <v>2</v>
      </c>
      <c r="M6" s="15" t="str">
        <f t="shared" ref="M6:M14" si="1">INDEX(B3:B202,MATCH(N6,E3:E202,0))</f>
        <v>James Wilson</v>
      </c>
      <c r="N6" s="15">
        <f t="shared" ref="N6:N14" si="2">LARGE(E3:E202,L6)</f>
        <v>1923.66</v>
      </c>
      <c r="O6" s="15">
        <f t="shared" ref="O6:O14" si="3">INDEX(I3:I202,MATCH(N6,E3:E202,0))</f>
        <v>769.46</v>
      </c>
      <c r="P6" s="15">
        <f t="shared" ref="P6:P14" si="4">INDEX(F3:F202,MATCH(N6,E3:E202,0))</f>
        <v>9</v>
      </c>
    </row>
    <row r="7" spans="1:26" ht="14.4" x14ac:dyDescent="0.3">
      <c r="A7" s="4" t="s">
        <v>30</v>
      </c>
      <c r="B7" s="4" t="s">
        <v>28</v>
      </c>
      <c r="C7" s="4" t="s">
        <v>36</v>
      </c>
      <c r="D7" s="4" t="s">
        <v>29</v>
      </c>
      <c r="E7" s="4">
        <v>1432.47</v>
      </c>
      <c r="F7" s="4">
        <v>16</v>
      </c>
      <c r="G7" s="4">
        <v>0.15</v>
      </c>
      <c r="H7" s="5">
        <v>45640</v>
      </c>
      <c r="I7" s="4">
        <v>426.16</v>
      </c>
      <c r="J7" s="13">
        <f t="shared" ca="1" si="0"/>
        <v>46146.906177777775</v>
      </c>
      <c r="L7" s="14">
        <v>3</v>
      </c>
      <c r="M7" s="15" t="str">
        <f t="shared" si="1"/>
        <v>James Wilson</v>
      </c>
      <c r="N7" s="15">
        <f t="shared" si="2"/>
        <v>1681.21</v>
      </c>
      <c r="O7" s="15">
        <f t="shared" si="3"/>
        <v>336.24</v>
      </c>
      <c r="P7" s="15">
        <f t="shared" si="4"/>
        <v>5</v>
      </c>
    </row>
    <row r="8" spans="1:26" ht="14.4" x14ac:dyDescent="0.3">
      <c r="A8" s="4" t="s">
        <v>30</v>
      </c>
      <c r="B8" s="4" t="s">
        <v>73</v>
      </c>
      <c r="C8" s="4" t="s">
        <v>26</v>
      </c>
      <c r="D8" s="4" t="s">
        <v>17</v>
      </c>
      <c r="E8" s="4">
        <v>336.66</v>
      </c>
      <c r="F8" s="4">
        <v>13</v>
      </c>
      <c r="G8" s="4">
        <v>0.2</v>
      </c>
      <c r="H8" s="5">
        <v>45651</v>
      </c>
      <c r="I8" s="4">
        <v>134.66</v>
      </c>
      <c r="J8" s="13">
        <f t="shared" ca="1" si="0"/>
        <v>46146.906177777775</v>
      </c>
      <c r="L8" s="14">
        <v>4</v>
      </c>
      <c r="M8" s="15" t="str">
        <f t="shared" si="1"/>
        <v>Linda Taylor</v>
      </c>
      <c r="N8" s="15">
        <f t="shared" si="2"/>
        <v>1622.62</v>
      </c>
      <c r="O8" s="15">
        <f t="shared" si="3"/>
        <v>649.04999999999995</v>
      </c>
      <c r="P8" s="15">
        <f t="shared" si="4"/>
        <v>12</v>
      </c>
    </row>
    <row r="9" spans="1:26" ht="14.4" x14ac:dyDescent="0.3">
      <c r="A9" s="4" t="s">
        <v>67</v>
      </c>
      <c r="B9" s="4" t="s">
        <v>50</v>
      </c>
      <c r="C9" s="4" t="s">
        <v>13</v>
      </c>
      <c r="D9" s="4" t="s">
        <v>14</v>
      </c>
      <c r="E9" s="4">
        <v>942.9</v>
      </c>
      <c r="F9" s="4">
        <v>18</v>
      </c>
      <c r="G9" s="4">
        <v>0.1</v>
      </c>
      <c r="H9" s="5">
        <v>45466</v>
      </c>
      <c r="I9" s="4">
        <v>339.44</v>
      </c>
      <c r="J9" s="13">
        <f t="shared" ca="1" si="0"/>
        <v>46146.906177777775</v>
      </c>
      <c r="L9" s="14">
        <v>5</v>
      </c>
      <c r="M9" s="15" t="str">
        <f t="shared" si="1"/>
        <v>Mary Jackson</v>
      </c>
      <c r="N9" s="15">
        <f t="shared" si="2"/>
        <v>1618.22</v>
      </c>
      <c r="O9" s="15">
        <f t="shared" si="3"/>
        <v>582.55999999999995</v>
      </c>
      <c r="P9" s="15">
        <f t="shared" si="4"/>
        <v>12</v>
      </c>
    </row>
    <row r="10" spans="1:26" ht="14.4" x14ac:dyDescent="0.3">
      <c r="A10" s="4" t="s">
        <v>67</v>
      </c>
      <c r="B10" s="4" t="s">
        <v>33</v>
      </c>
      <c r="C10" s="4" t="s">
        <v>22</v>
      </c>
      <c r="D10" s="4" t="s">
        <v>14</v>
      </c>
      <c r="E10" s="4">
        <v>876.44</v>
      </c>
      <c r="F10" s="4">
        <v>12</v>
      </c>
      <c r="G10" s="4">
        <v>0.05</v>
      </c>
      <c r="H10" s="5">
        <v>45488</v>
      </c>
      <c r="I10" s="4">
        <v>333.05</v>
      </c>
      <c r="J10" s="13">
        <f t="shared" ca="1" si="0"/>
        <v>46146.906177777775</v>
      </c>
      <c r="L10" s="14">
        <v>6</v>
      </c>
      <c r="M10" s="15" t="str">
        <f t="shared" si="1"/>
        <v>Mary Davis</v>
      </c>
      <c r="N10" s="15">
        <f t="shared" si="2"/>
        <v>1589.42</v>
      </c>
      <c r="O10" s="15">
        <f t="shared" si="3"/>
        <v>675.5</v>
      </c>
      <c r="P10" s="15">
        <f t="shared" si="4"/>
        <v>6</v>
      </c>
    </row>
    <row r="11" spans="1:26" ht="14.4" x14ac:dyDescent="0.3">
      <c r="A11" s="4" t="s">
        <v>67</v>
      </c>
      <c r="B11" s="4" t="s">
        <v>52</v>
      </c>
      <c r="C11" s="4" t="s">
        <v>20</v>
      </c>
      <c r="D11" s="4" t="s">
        <v>23</v>
      </c>
      <c r="E11" s="4">
        <v>1410.59</v>
      </c>
      <c r="F11" s="4">
        <v>15</v>
      </c>
      <c r="G11" s="4">
        <v>0</v>
      </c>
      <c r="H11" s="5">
        <v>45615</v>
      </c>
      <c r="I11" s="4">
        <v>352.65</v>
      </c>
      <c r="J11" s="13">
        <f t="shared" ca="1" si="0"/>
        <v>46146.906177777775</v>
      </c>
      <c r="L11" s="14">
        <v>7</v>
      </c>
      <c r="M11" s="15" t="str">
        <f t="shared" si="1"/>
        <v>Emma Davis</v>
      </c>
      <c r="N11" s="15">
        <f t="shared" si="2"/>
        <v>1572.82</v>
      </c>
      <c r="O11" s="15">
        <f t="shared" si="3"/>
        <v>672.38</v>
      </c>
      <c r="P11" s="15">
        <f t="shared" si="4"/>
        <v>6</v>
      </c>
    </row>
    <row r="12" spans="1:26" ht="14.4" x14ac:dyDescent="0.3">
      <c r="A12" s="4" t="s">
        <v>67</v>
      </c>
      <c r="B12" s="4" t="s">
        <v>63</v>
      </c>
      <c r="C12" s="4" t="s">
        <v>22</v>
      </c>
      <c r="D12" s="4" t="s">
        <v>29</v>
      </c>
      <c r="E12" s="4">
        <v>806.03</v>
      </c>
      <c r="F12" s="4">
        <v>19</v>
      </c>
      <c r="G12" s="4">
        <v>0.05</v>
      </c>
      <c r="H12" s="5">
        <v>45638</v>
      </c>
      <c r="I12" s="4">
        <v>268</v>
      </c>
      <c r="J12" s="13">
        <f t="shared" ca="1" si="0"/>
        <v>46146.906177777775</v>
      </c>
      <c r="L12" s="14">
        <v>8</v>
      </c>
      <c r="M12" s="15" t="str">
        <f t="shared" si="1"/>
        <v>Emma Davis</v>
      </c>
      <c r="N12" s="15">
        <f t="shared" si="2"/>
        <v>1526.6</v>
      </c>
      <c r="O12" s="15">
        <f t="shared" si="3"/>
        <v>305.32</v>
      </c>
      <c r="P12" s="15">
        <f t="shared" si="4"/>
        <v>13</v>
      </c>
    </row>
    <row r="13" spans="1:26" ht="14.4" x14ac:dyDescent="0.3">
      <c r="A13" s="4" t="s">
        <v>67</v>
      </c>
      <c r="B13" s="4" t="s">
        <v>50</v>
      </c>
      <c r="C13" s="4" t="s">
        <v>13</v>
      </c>
      <c r="D13" s="4" t="s">
        <v>41</v>
      </c>
      <c r="E13" s="4">
        <v>827.25</v>
      </c>
      <c r="F13" s="4">
        <v>7</v>
      </c>
      <c r="G13" s="4">
        <v>0.1</v>
      </c>
      <c r="H13" s="5">
        <v>45693</v>
      </c>
      <c r="I13" s="4">
        <v>335.04</v>
      </c>
      <c r="J13" s="13">
        <f t="shared" ca="1" si="0"/>
        <v>46146.906177777775</v>
      </c>
      <c r="L13" s="14">
        <v>9</v>
      </c>
      <c r="M13" s="15" t="str">
        <f t="shared" si="1"/>
        <v>Mary Jackson</v>
      </c>
      <c r="N13" s="15">
        <f t="shared" si="2"/>
        <v>1506.14</v>
      </c>
      <c r="O13" s="15">
        <f t="shared" si="3"/>
        <v>481.96</v>
      </c>
      <c r="P13" s="15">
        <f t="shared" si="4"/>
        <v>13</v>
      </c>
    </row>
    <row r="14" spans="1:26" ht="14.4" x14ac:dyDescent="0.3">
      <c r="A14" s="4" t="s">
        <v>67</v>
      </c>
      <c r="B14" s="4" t="s">
        <v>49</v>
      </c>
      <c r="C14" s="4" t="s">
        <v>36</v>
      </c>
      <c r="D14" s="4" t="s">
        <v>41</v>
      </c>
      <c r="E14" s="4">
        <v>1618.22</v>
      </c>
      <c r="F14" s="4">
        <v>12</v>
      </c>
      <c r="G14" s="4">
        <v>0.2</v>
      </c>
      <c r="H14" s="5">
        <v>45712</v>
      </c>
      <c r="I14" s="4">
        <v>582.55999999999995</v>
      </c>
      <c r="J14" s="13">
        <f t="shared" ca="1" si="0"/>
        <v>46146.906177777775</v>
      </c>
      <c r="L14" s="14">
        <v>10</v>
      </c>
      <c r="M14" s="15" t="str">
        <f t="shared" si="1"/>
        <v>Sarah Anderson</v>
      </c>
      <c r="N14" s="15">
        <f t="shared" si="2"/>
        <v>1502.93</v>
      </c>
      <c r="O14" s="15">
        <f t="shared" si="3"/>
        <v>300.58999999999997</v>
      </c>
      <c r="P14" s="15">
        <f t="shared" si="4"/>
        <v>14</v>
      </c>
    </row>
    <row r="15" spans="1:26" ht="14.4" x14ac:dyDescent="0.3">
      <c r="A15" s="4" t="s">
        <v>69</v>
      </c>
      <c r="B15" s="4" t="s">
        <v>40</v>
      </c>
      <c r="C15" s="4" t="s">
        <v>26</v>
      </c>
      <c r="D15" s="4" t="s">
        <v>14</v>
      </c>
      <c r="E15" s="4">
        <v>1248.82</v>
      </c>
      <c r="F15" s="4">
        <v>2</v>
      </c>
      <c r="G15" s="4">
        <v>0.1</v>
      </c>
      <c r="H15" s="5">
        <v>45473</v>
      </c>
      <c r="I15" s="4">
        <v>449.58</v>
      </c>
      <c r="J15" s="13">
        <f t="shared" ca="1" si="0"/>
        <v>46146.906177777775</v>
      </c>
      <c r="L15" s="22" t="s">
        <v>79</v>
      </c>
      <c r="M15" s="23"/>
      <c r="N15" s="17">
        <f>SUM(N5:N14)</f>
        <v>16467.28</v>
      </c>
      <c r="O15" s="17">
        <f>SUM(O5:O14)</f>
        <v>5542.5199999999995</v>
      </c>
      <c r="P15" s="17">
        <f>SUM(P5:P14)</f>
        <v>99</v>
      </c>
    </row>
    <row r="16" spans="1:26" ht="14.4" x14ac:dyDescent="0.3">
      <c r="A16" s="4" t="s">
        <v>69</v>
      </c>
      <c r="B16" s="4" t="s">
        <v>12</v>
      </c>
      <c r="C16" s="4" t="s">
        <v>13</v>
      </c>
      <c r="D16" s="4" t="s">
        <v>23</v>
      </c>
      <c r="E16" s="4">
        <v>1005.53</v>
      </c>
      <c r="F16" s="4">
        <v>17</v>
      </c>
      <c r="G16" s="4">
        <v>0.2</v>
      </c>
      <c r="H16" s="5">
        <v>45481</v>
      </c>
      <c r="I16" s="4">
        <v>201.11</v>
      </c>
      <c r="J16" s="13">
        <f t="shared" ca="1" si="0"/>
        <v>46146.906177777775</v>
      </c>
    </row>
    <row r="17" spans="1:10" ht="14.4" x14ac:dyDescent="0.3">
      <c r="A17" s="4" t="s">
        <v>69</v>
      </c>
      <c r="B17" s="4" t="s">
        <v>25</v>
      </c>
      <c r="C17" s="4" t="s">
        <v>26</v>
      </c>
      <c r="D17" s="4" t="s">
        <v>29</v>
      </c>
      <c r="E17" s="4">
        <v>1034.7</v>
      </c>
      <c r="F17" s="4">
        <v>15</v>
      </c>
      <c r="G17" s="4">
        <v>0.15</v>
      </c>
      <c r="H17" s="5">
        <v>45487</v>
      </c>
      <c r="I17" s="4">
        <v>307.82</v>
      </c>
      <c r="J17" s="13">
        <f t="shared" ca="1" si="0"/>
        <v>46146.906177777775</v>
      </c>
    </row>
    <row r="18" spans="1:10" ht="14.4" x14ac:dyDescent="0.3">
      <c r="A18" s="4" t="s">
        <v>69</v>
      </c>
      <c r="B18" s="4" t="s">
        <v>12</v>
      </c>
      <c r="C18" s="4" t="s">
        <v>22</v>
      </c>
      <c r="D18" s="4" t="s">
        <v>23</v>
      </c>
      <c r="E18" s="4">
        <v>1335.87</v>
      </c>
      <c r="F18" s="4">
        <v>17</v>
      </c>
      <c r="G18" s="4">
        <v>0</v>
      </c>
      <c r="H18" s="5">
        <v>45544</v>
      </c>
      <c r="I18" s="4">
        <v>333.97</v>
      </c>
      <c r="J18" s="13">
        <f t="shared" ca="1" si="0"/>
        <v>46146.906177777775</v>
      </c>
    </row>
    <row r="19" spans="1:10" ht="14.4" x14ac:dyDescent="0.3">
      <c r="A19" s="4" t="s">
        <v>69</v>
      </c>
      <c r="B19" s="4" t="s">
        <v>25</v>
      </c>
      <c r="C19" s="4" t="s">
        <v>13</v>
      </c>
      <c r="D19" s="4" t="s">
        <v>23</v>
      </c>
      <c r="E19" s="4">
        <v>1158.94</v>
      </c>
      <c r="F19" s="4">
        <v>19</v>
      </c>
      <c r="G19" s="4">
        <v>0.2</v>
      </c>
      <c r="H19" s="5">
        <v>45553</v>
      </c>
      <c r="I19" s="4">
        <v>231.79</v>
      </c>
      <c r="J19" s="13">
        <f t="shared" ca="1" si="0"/>
        <v>46146.906177777775</v>
      </c>
    </row>
    <row r="20" spans="1:10" ht="14.4" x14ac:dyDescent="0.3">
      <c r="A20" s="4" t="s">
        <v>69</v>
      </c>
      <c r="B20" s="4" t="s">
        <v>25</v>
      </c>
      <c r="C20" s="4" t="s">
        <v>36</v>
      </c>
      <c r="D20" s="4" t="s">
        <v>17</v>
      </c>
      <c r="E20" s="4">
        <v>902.19</v>
      </c>
      <c r="F20" s="4">
        <v>12</v>
      </c>
      <c r="G20" s="4">
        <v>0</v>
      </c>
      <c r="H20" s="5">
        <v>45564</v>
      </c>
      <c r="I20" s="4">
        <v>451.1</v>
      </c>
      <c r="J20" s="13">
        <f t="shared" ca="1" si="0"/>
        <v>46146.906177777775</v>
      </c>
    </row>
    <row r="21" spans="1:10" ht="15.75" customHeight="1" x14ac:dyDescent="0.3">
      <c r="A21" s="4" t="s">
        <v>69</v>
      </c>
      <c r="B21" s="4" t="s">
        <v>71</v>
      </c>
      <c r="C21" s="4" t="s">
        <v>26</v>
      </c>
      <c r="D21" s="4" t="s">
        <v>17</v>
      </c>
      <c r="E21" s="4">
        <v>661.09</v>
      </c>
      <c r="F21" s="4">
        <v>1</v>
      </c>
      <c r="G21" s="4">
        <v>0.2</v>
      </c>
      <c r="H21" s="5">
        <v>45593</v>
      </c>
      <c r="I21" s="4">
        <v>264.44</v>
      </c>
      <c r="J21" s="13">
        <f t="shared" ca="1" si="0"/>
        <v>46146.906177777775</v>
      </c>
    </row>
    <row r="22" spans="1:10" ht="15.75" customHeight="1" x14ac:dyDescent="0.3">
      <c r="A22" s="4" t="s">
        <v>69</v>
      </c>
      <c r="B22" s="4" t="s">
        <v>45</v>
      </c>
      <c r="C22" s="4" t="s">
        <v>22</v>
      </c>
      <c r="D22" s="4" t="s">
        <v>14</v>
      </c>
      <c r="E22" s="4">
        <v>704.28</v>
      </c>
      <c r="F22" s="4">
        <v>15</v>
      </c>
      <c r="G22" s="4">
        <v>0.2</v>
      </c>
      <c r="H22" s="5">
        <v>45712</v>
      </c>
      <c r="I22" s="4">
        <v>225.37</v>
      </c>
      <c r="J22" s="13">
        <f t="shared" ca="1" si="0"/>
        <v>46146.906177777775</v>
      </c>
    </row>
    <row r="23" spans="1:10" ht="15.75" customHeight="1" x14ac:dyDescent="0.3">
      <c r="A23" s="4" t="s">
        <v>69</v>
      </c>
      <c r="B23" s="4" t="s">
        <v>40</v>
      </c>
      <c r="C23" s="4" t="s">
        <v>20</v>
      </c>
      <c r="D23" s="4" t="s">
        <v>41</v>
      </c>
      <c r="E23" s="4">
        <v>438.76</v>
      </c>
      <c r="F23" s="4">
        <v>18</v>
      </c>
      <c r="G23" s="4">
        <v>0.05</v>
      </c>
      <c r="H23" s="5">
        <v>45726</v>
      </c>
      <c r="I23" s="4">
        <v>187.57</v>
      </c>
      <c r="J23" s="13">
        <f t="shared" ca="1" si="0"/>
        <v>46146.906177777775</v>
      </c>
    </row>
    <row r="24" spans="1:10" ht="15.75" customHeight="1" x14ac:dyDescent="0.3">
      <c r="A24" s="4" t="s">
        <v>74</v>
      </c>
      <c r="B24" s="4" t="s">
        <v>47</v>
      </c>
      <c r="C24" s="4" t="s">
        <v>26</v>
      </c>
      <c r="D24" s="4" t="s">
        <v>29</v>
      </c>
      <c r="E24" s="4">
        <v>518.07000000000005</v>
      </c>
      <c r="F24" s="4">
        <v>7</v>
      </c>
      <c r="G24" s="4">
        <v>0.05</v>
      </c>
      <c r="H24" s="5">
        <v>45522</v>
      </c>
      <c r="I24" s="4">
        <v>172.26</v>
      </c>
      <c r="J24" s="13">
        <f t="shared" ca="1" si="0"/>
        <v>46146.906177777775</v>
      </c>
    </row>
    <row r="25" spans="1:10" ht="15.75" customHeight="1" x14ac:dyDescent="0.3">
      <c r="A25" s="4" t="s">
        <v>74</v>
      </c>
      <c r="B25" s="4" t="s">
        <v>66</v>
      </c>
      <c r="C25" s="4" t="s">
        <v>13</v>
      </c>
      <c r="D25" s="4" t="s">
        <v>41</v>
      </c>
      <c r="E25" s="4">
        <v>1443.98</v>
      </c>
      <c r="F25" s="4">
        <v>19</v>
      </c>
      <c r="G25" s="4">
        <v>0</v>
      </c>
      <c r="H25" s="5">
        <v>45547</v>
      </c>
      <c r="I25" s="4">
        <v>649.79</v>
      </c>
      <c r="J25" s="13">
        <f t="shared" ca="1" si="0"/>
        <v>46146.906177777775</v>
      </c>
    </row>
    <row r="26" spans="1:10" ht="15.75" customHeight="1" x14ac:dyDescent="0.3">
      <c r="A26" s="4" t="s">
        <v>74</v>
      </c>
      <c r="B26" s="4" t="s">
        <v>19</v>
      </c>
      <c r="C26" s="4" t="s">
        <v>36</v>
      </c>
      <c r="D26" s="4" t="s">
        <v>17</v>
      </c>
      <c r="E26" s="4">
        <v>1277.8499999999999</v>
      </c>
      <c r="F26" s="4">
        <v>18</v>
      </c>
      <c r="G26" s="4">
        <v>0.2</v>
      </c>
      <c r="H26" s="5">
        <v>45613</v>
      </c>
      <c r="I26" s="4">
        <v>511.14</v>
      </c>
      <c r="J26" s="13">
        <f t="shared" ca="1" si="0"/>
        <v>46146.906177777775</v>
      </c>
    </row>
    <row r="27" spans="1:10" ht="15.75" customHeight="1" x14ac:dyDescent="0.3">
      <c r="A27" s="4" t="s">
        <v>74</v>
      </c>
      <c r="B27" s="4" t="s">
        <v>33</v>
      </c>
      <c r="C27" s="4" t="s">
        <v>26</v>
      </c>
      <c r="D27" s="4" t="s">
        <v>17</v>
      </c>
      <c r="E27" s="4">
        <v>1589.42</v>
      </c>
      <c r="F27" s="4">
        <v>6</v>
      </c>
      <c r="G27" s="4">
        <v>0.15</v>
      </c>
      <c r="H27" s="5">
        <v>45651</v>
      </c>
      <c r="I27" s="4">
        <v>675.5</v>
      </c>
      <c r="J27" s="13">
        <f t="shared" ca="1" si="0"/>
        <v>46146.906177777775</v>
      </c>
    </row>
    <row r="28" spans="1:10" ht="15.75" customHeight="1" x14ac:dyDescent="0.3">
      <c r="A28" s="4" t="s">
        <v>74</v>
      </c>
      <c r="B28" s="4" t="s">
        <v>12</v>
      </c>
      <c r="C28" s="4" t="s">
        <v>20</v>
      </c>
      <c r="D28" s="4" t="s">
        <v>41</v>
      </c>
      <c r="E28" s="4">
        <v>1311.26</v>
      </c>
      <c r="F28" s="4">
        <v>6</v>
      </c>
      <c r="G28" s="4">
        <v>0.1</v>
      </c>
      <c r="H28" s="5">
        <v>45698</v>
      </c>
      <c r="I28" s="4">
        <v>531.05999999999995</v>
      </c>
      <c r="J28" s="13">
        <f t="shared" ca="1" si="0"/>
        <v>46146.906177777775</v>
      </c>
    </row>
    <row r="29" spans="1:10" ht="15.75" customHeight="1" x14ac:dyDescent="0.3">
      <c r="A29" s="4" t="s">
        <v>74</v>
      </c>
      <c r="B29" s="4" t="s">
        <v>33</v>
      </c>
      <c r="C29" s="4" t="s">
        <v>22</v>
      </c>
      <c r="D29" s="4" t="s">
        <v>41</v>
      </c>
      <c r="E29" s="4">
        <v>573.32000000000005</v>
      </c>
      <c r="F29" s="4">
        <v>19</v>
      </c>
      <c r="G29" s="4">
        <v>0.1</v>
      </c>
      <c r="H29" s="5">
        <v>45703</v>
      </c>
      <c r="I29" s="4">
        <v>232.19</v>
      </c>
      <c r="J29" s="13">
        <f t="shared" ca="1" si="0"/>
        <v>46146.906177777775</v>
      </c>
    </row>
    <row r="30" spans="1:10" ht="15.75" customHeight="1" x14ac:dyDescent="0.3">
      <c r="A30" s="4" t="s">
        <v>74</v>
      </c>
      <c r="B30" s="4" t="s">
        <v>31</v>
      </c>
      <c r="C30" s="4" t="s">
        <v>20</v>
      </c>
      <c r="D30" s="4" t="s">
        <v>14</v>
      </c>
      <c r="E30" s="4">
        <v>1099.69</v>
      </c>
      <c r="F30" s="4">
        <v>6</v>
      </c>
      <c r="G30" s="4">
        <v>0</v>
      </c>
      <c r="H30" s="5">
        <v>45718</v>
      </c>
      <c r="I30" s="4">
        <v>439.88</v>
      </c>
      <c r="J30" s="13">
        <f t="shared" ca="1" si="0"/>
        <v>46146.906177777775</v>
      </c>
    </row>
    <row r="31" spans="1:10" ht="15.75" customHeight="1" x14ac:dyDescent="0.3">
      <c r="A31" s="4" t="s">
        <v>21</v>
      </c>
      <c r="B31" s="4" t="s">
        <v>16</v>
      </c>
      <c r="C31" s="4" t="s">
        <v>22</v>
      </c>
      <c r="D31" s="4" t="s">
        <v>23</v>
      </c>
      <c r="E31" s="4">
        <v>760.93</v>
      </c>
      <c r="F31" s="4">
        <v>4</v>
      </c>
      <c r="G31" s="4">
        <v>0.15</v>
      </c>
      <c r="H31" s="5">
        <v>45396</v>
      </c>
      <c r="I31" s="4">
        <v>161.69999999999999</v>
      </c>
      <c r="J31" s="13">
        <f t="shared" ca="1" si="0"/>
        <v>46146.906177777775</v>
      </c>
    </row>
    <row r="32" spans="1:10" ht="15.75" customHeight="1" x14ac:dyDescent="0.3">
      <c r="A32" s="4" t="s">
        <v>21</v>
      </c>
      <c r="B32" s="4" t="s">
        <v>45</v>
      </c>
      <c r="C32" s="4" t="s">
        <v>22</v>
      </c>
      <c r="D32" s="4" t="s">
        <v>23</v>
      </c>
      <c r="E32" s="4">
        <v>1502.93</v>
      </c>
      <c r="F32" s="4">
        <v>14</v>
      </c>
      <c r="G32" s="4">
        <v>0.2</v>
      </c>
      <c r="H32" s="5">
        <v>45410</v>
      </c>
      <c r="I32" s="4">
        <v>300.58999999999997</v>
      </c>
      <c r="J32" s="13">
        <f t="shared" ca="1" si="0"/>
        <v>46146.906177777775</v>
      </c>
    </row>
    <row r="33" spans="1:10" ht="15.75" customHeight="1" x14ac:dyDescent="0.3">
      <c r="A33" s="4" t="s">
        <v>21</v>
      </c>
      <c r="B33" s="4" t="s">
        <v>44</v>
      </c>
      <c r="C33" s="4" t="s">
        <v>22</v>
      </c>
      <c r="D33" s="4" t="s">
        <v>14</v>
      </c>
      <c r="E33" s="4">
        <v>1151.21</v>
      </c>
      <c r="F33" s="4">
        <v>15</v>
      </c>
      <c r="G33" s="4">
        <v>0.1</v>
      </c>
      <c r="H33" s="5">
        <v>45445</v>
      </c>
      <c r="I33" s="4">
        <v>414.44</v>
      </c>
      <c r="J33" s="13">
        <f t="shared" ca="1" si="0"/>
        <v>46146.906177777775</v>
      </c>
    </row>
    <row r="34" spans="1:10" ht="15.75" customHeight="1" x14ac:dyDescent="0.3">
      <c r="A34" s="4" t="s">
        <v>21</v>
      </c>
      <c r="B34" s="4" t="s">
        <v>16</v>
      </c>
      <c r="C34" s="4" t="s">
        <v>22</v>
      </c>
      <c r="D34" s="4" t="s">
        <v>29</v>
      </c>
      <c r="E34" s="4">
        <v>919.04</v>
      </c>
      <c r="F34" s="4">
        <v>10</v>
      </c>
      <c r="G34" s="4">
        <v>0.2</v>
      </c>
      <c r="H34" s="5">
        <v>45468</v>
      </c>
      <c r="I34" s="4">
        <v>257.33</v>
      </c>
      <c r="J34" s="13">
        <f t="shared" ref="J34:J65" ca="1" si="5">NOW()</f>
        <v>46146.906177777775</v>
      </c>
    </row>
    <row r="35" spans="1:10" ht="15.75" customHeight="1" x14ac:dyDescent="0.3">
      <c r="A35" s="4" t="s">
        <v>21</v>
      </c>
      <c r="B35" s="4" t="s">
        <v>55</v>
      </c>
      <c r="C35" s="4" t="s">
        <v>36</v>
      </c>
      <c r="D35" s="4" t="s">
        <v>29</v>
      </c>
      <c r="E35" s="4">
        <v>1261.3399999999999</v>
      </c>
      <c r="F35" s="4">
        <v>3</v>
      </c>
      <c r="G35" s="4">
        <v>0</v>
      </c>
      <c r="H35" s="5">
        <v>45519</v>
      </c>
      <c r="I35" s="4">
        <v>441.47</v>
      </c>
      <c r="J35" s="13">
        <f t="shared" ca="1" si="5"/>
        <v>46146.906177777775</v>
      </c>
    </row>
    <row r="36" spans="1:10" ht="15.75" customHeight="1" x14ac:dyDescent="0.3">
      <c r="A36" s="4" t="s">
        <v>21</v>
      </c>
      <c r="B36" s="4" t="s">
        <v>50</v>
      </c>
      <c r="C36" s="4" t="s">
        <v>36</v>
      </c>
      <c r="D36" s="4" t="s">
        <v>14</v>
      </c>
      <c r="E36" s="4">
        <v>1070.68</v>
      </c>
      <c r="F36" s="4">
        <v>7</v>
      </c>
      <c r="G36" s="4">
        <v>0.05</v>
      </c>
      <c r="H36" s="5">
        <v>45536</v>
      </c>
      <c r="I36" s="4">
        <v>406.86</v>
      </c>
      <c r="J36" s="13">
        <f t="shared" ca="1" si="5"/>
        <v>46146.906177777775</v>
      </c>
    </row>
    <row r="37" spans="1:10" ht="15.75" customHeight="1" x14ac:dyDescent="0.3">
      <c r="A37" s="4" t="s">
        <v>48</v>
      </c>
      <c r="B37" s="4" t="s">
        <v>49</v>
      </c>
      <c r="C37" s="4" t="s">
        <v>13</v>
      </c>
      <c r="D37" s="4" t="s">
        <v>14</v>
      </c>
      <c r="E37" s="4">
        <v>1506.14</v>
      </c>
      <c r="F37" s="4">
        <v>13</v>
      </c>
      <c r="G37" s="4">
        <v>0.2</v>
      </c>
      <c r="H37" s="5">
        <v>45412</v>
      </c>
      <c r="I37" s="4">
        <v>481.96</v>
      </c>
      <c r="J37" s="13">
        <f t="shared" ca="1" si="5"/>
        <v>46146.906177777775</v>
      </c>
    </row>
    <row r="38" spans="1:10" ht="15.75" customHeight="1" x14ac:dyDescent="0.3">
      <c r="A38" s="4" t="s">
        <v>48</v>
      </c>
      <c r="B38" s="4" t="s">
        <v>73</v>
      </c>
      <c r="C38" s="4" t="s">
        <v>13</v>
      </c>
      <c r="D38" s="4" t="s">
        <v>29</v>
      </c>
      <c r="E38" s="4">
        <v>1193.6099999999999</v>
      </c>
      <c r="F38" s="4">
        <v>1</v>
      </c>
      <c r="G38" s="4">
        <v>0.15</v>
      </c>
      <c r="H38" s="5">
        <v>45584</v>
      </c>
      <c r="I38" s="4">
        <v>355.1</v>
      </c>
      <c r="J38" s="13">
        <f t="shared" ca="1" si="5"/>
        <v>46146.906177777775</v>
      </c>
    </row>
    <row r="39" spans="1:10" ht="15.75" customHeight="1" x14ac:dyDescent="0.3">
      <c r="A39" s="4" t="s">
        <v>27</v>
      </c>
      <c r="B39" s="4" t="s">
        <v>28</v>
      </c>
      <c r="C39" s="4" t="s">
        <v>26</v>
      </c>
      <c r="D39" s="4" t="s">
        <v>29</v>
      </c>
      <c r="E39" s="4">
        <v>965.64</v>
      </c>
      <c r="F39" s="4">
        <v>8</v>
      </c>
      <c r="G39" s="4">
        <v>0.1</v>
      </c>
      <c r="H39" s="5">
        <v>45398</v>
      </c>
      <c r="I39" s="4">
        <v>304.18</v>
      </c>
      <c r="J39" s="13">
        <f t="shared" ca="1" si="5"/>
        <v>46146.906177777775</v>
      </c>
    </row>
    <row r="40" spans="1:10" ht="15.75" customHeight="1" x14ac:dyDescent="0.3">
      <c r="A40" s="4" t="s">
        <v>27</v>
      </c>
      <c r="B40" s="4" t="s">
        <v>28</v>
      </c>
      <c r="C40" s="4" t="s">
        <v>36</v>
      </c>
      <c r="D40" s="4" t="s">
        <v>14</v>
      </c>
      <c r="E40" s="4">
        <v>1191.58</v>
      </c>
      <c r="F40" s="4">
        <v>14</v>
      </c>
      <c r="G40" s="4">
        <v>0.05</v>
      </c>
      <c r="H40" s="5">
        <v>45406</v>
      </c>
      <c r="I40" s="4">
        <v>452.8</v>
      </c>
      <c r="J40" s="13">
        <f t="shared" ca="1" si="5"/>
        <v>46146.906177777775</v>
      </c>
    </row>
    <row r="41" spans="1:10" ht="15.75" customHeight="1" x14ac:dyDescent="0.3">
      <c r="A41" s="4" t="s">
        <v>27</v>
      </c>
      <c r="B41" s="4" t="s">
        <v>50</v>
      </c>
      <c r="C41" s="4" t="s">
        <v>22</v>
      </c>
      <c r="D41" s="4" t="s">
        <v>17</v>
      </c>
      <c r="E41" s="4">
        <v>953.3</v>
      </c>
      <c r="F41" s="4">
        <v>11</v>
      </c>
      <c r="G41" s="4">
        <v>0</v>
      </c>
      <c r="H41" s="5">
        <v>45415</v>
      </c>
      <c r="I41" s="4">
        <v>476.65</v>
      </c>
      <c r="J41" s="13">
        <f t="shared" ca="1" si="5"/>
        <v>46146.906177777775</v>
      </c>
    </row>
    <row r="42" spans="1:10" ht="15.75" customHeight="1" x14ac:dyDescent="0.3">
      <c r="A42" s="4" t="s">
        <v>27</v>
      </c>
      <c r="B42" s="4" t="s">
        <v>16</v>
      </c>
      <c r="C42" s="4" t="s">
        <v>36</v>
      </c>
      <c r="D42" s="4" t="s">
        <v>14</v>
      </c>
      <c r="E42" s="4">
        <v>939.09</v>
      </c>
      <c r="F42" s="4">
        <v>2</v>
      </c>
      <c r="G42" s="4">
        <v>0.05</v>
      </c>
      <c r="H42" s="5">
        <v>45422</v>
      </c>
      <c r="I42" s="4">
        <v>356.85</v>
      </c>
      <c r="J42" s="13">
        <f t="shared" ca="1" si="5"/>
        <v>46146.906177777775</v>
      </c>
    </row>
    <row r="43" spans="1:10" ht="15.75" customHeight="1" x14ac:dyDescent="0.3">
      <c r="A43" s="4" t="s">
        <v>27</v>
      </c>
      <c r="B43" s="4" t="s">
        <v>35</v>
      </c>
      <c r="C43" s="4" t="s">
        <v>22</v>
      </c>
      <c r="D43" s="4" t="s">
        <v>23</v>
      </c>
      <c r="E43" s="4">
        <v>1021.47</v>
      </c>
      <c r="F43" s="4">
        <v>6</v>
      </c>
      <c r="G43" s="4">
        <v>0.05</v>
      </c>
      <c r="H43" s="5">
        <v>45461</v>
      </c>
      <c r="I43" s="4">
        <v>242.6</v>
      </c>
      <c r="J43" s="13">
        <f t="shared" ca="1" si="5"/>
        <v>46146.906177777775</v>
      </c>
    </row>
    <row r="44" spans="1:10" ht="15.75" customHeight="1" x14ac:dyDescent="0.3">
      <c r="A44" s="4" t="s">
        <v>27</v>
      </c>
      <c r="B44" s="4" t="s">
        <v>57</v>
      </c>
      <c r="C44" s="4" t="s">
        <v>26</v>
      </c>
      <c r="D44" s="4" t="s">
        <v>14</v>
      </c>
      <c r="E44" s="4">
        <v>679.71</v>
      </c>
      <c r="F44" s="4">
        <v>19</v>
      </c>
      <c r="G44" s="4">
        <v>0</v>
      </c>
      <c r="H44" s="5">
        <v>45534</v>
      </c>
      <c r="I44" s="4">
        <v>271.88</v>
      </c>
      <c r="J44" s="13">
        <f t="shared" ca="1" si="5"/>
        <v>46146.906177777775</v>
      </c>
    </row>
    <row r="45" spans="1:10" ht="15.75" customHeight="1" x14ac:dyDescent="0.3">
      <c r="A45" s="4" t="s">
        <v>27</v>
      </c>
      <c r="B45" s="4" t="s">
        <v>68</v>
      </c>
      <c r="C45" s="4" t="s">
        <v>13</v>
      </c>
      <c r="D45" s="4" t="s">
        <v>29</v>
      </c>
      <c r="E45" s="4">
        <v>1101.55</v>
      </c>
      <c r="F45" s="4">
        <v>4</v>
      </c>
      <c r="G45" s="4">
        <v>0.1</v>
      </c>
      <c r="H45" s="5">
        <v>45551</v>
      </c>
      <c r="I45" s="4">
        <v>346.99</v>
      </c>
      <c r="J45" s="13">
        <f t="shared" ca="1" si="5"/>
        <v>46146.906177777775</v>
      </c>
    </row>
    <row r="46" spans="1:10" ht="15.75" customHeight="1" x14ac:dyDescent="0.3">
      <c r="A46" s="4" t="s">
        <v>27</v>
      </c>
      <c r="B46" s="4" t="s">
        <v>40</v>
      </c>
      <c r="C46" s="4" t="s">
        <v>26</v>
      </c>
      <c r="D46" s="4" t="s">
        <v>41</v>
      </c>
      <c r="E46" s="4">
        <v>833.91</v>
      </c>
      <c r="F46" s="4">
        <v>3</v>
      </c>
      <c r="G46" s="4">
        <v>0.05</v>
      </c>
      <c r="H46" s="5">
        <v>45626</v>
      </c>
      <c r="I46" s="4">
        <v>356.5</v>
      </c>
      <c r="J46" s="13">
        <f t="shared" ca="1" si="5"/>
        <v>46146.906177777775</v>
      </c>
    </row>
    <row r="47" spans="1:10" ht="15.75" customHeight="1" x14ac:dyDescent="0.3">
      <c r="A47" s="4" t="s">
        <v>27</v>
      </c>
      <c r="B47" s="4" t="s">
        <v>57</v>
      </c>
      <c r="C47" s="4" t="s">
        <v>13</v>
      </c>
      <c r="D47" s="4" t="s">
        <v>17</v>
      </c>
      <c r="E47" s="4">
        <v>1493.49</v>
      </c>
      <c r="F47" s="4">
        <v>18</v>
      </c>
      <c r="G47" s="4">
        <v>0</v>
      </c>
      <c r="H47" s="5">
        <v>45734</v>
      </c>
      <c r="I47" s="4">
        <v>746.74</v>
      </c>
      <c r="J47" s="13">
        <f t="shared" ca="1" si="5"/>
        <v>46146.906177777775</v>
      </c>
    </row>
    <row r="48" spans="1:10" ht="15.75" customHeight="1" x14ac:dyDescent="0.3">
      <c r="A48" s="4" t="s">
        <v>27</v>
      </c>
      <c r="B48" s="4" t="s">
        <v>12</v>
      </c>
      <c r="C48" s="4" t="s">
        <v>22</v>
      </c>
      <c r="D48" s="4" t="s">
        <v>17</v>
      </c>
      <c r="E48" s="4">
        <v>762.14</v>
      </c>
      <c r="F48" s="4">
        <v>9</v>
      </c>
      <c r="G48" s="4">
        <v>0</v>
      </c>
      <c r="H48" s="5">
        <v>45743</v>
      </c>
      <c r="I48" s="4">
        <v>381.07</v>
      </c>
      <c r="J48" s="13">
        <f t="shared" ca="1" si="5"/>
        <v>46146.906177777775</v>
      </c>
    </row>
    <row r="49" spans="1:10" ht="15.75" customHeight="1" x14ac:dyDescent="0.3">
      <c r="A49" s="4" t="s">
        <v>46</v>
      </c>
      <c r="B49" s="4" t="s">
        <v>16</v>
      </c>
      <c r="C49" s="4" t="s">
        <v>22</v>
      </c>
      <c r="D49" s="4" t="s">
        <v>14</v>
      </c>
      <c r="E49" s="4">
        <v>877.58</v>
      </c>
      <c r="F49" s="4">
        <v>10</v>
      </c>
      <c r="G49" s="4">
        <v>0.15</v>
      </c>
      <c r="H49" s="5">
        <v>45411</v>
      </c>
      <c r="I49" s="4">
        <v>298.38</v>
      </c>
      <c r="J49" s="13">
        <f t="shared" ca="1" si="5"/>
        <v>46146.906177777775</v>
      </c>
    </row>
    <row r="50" spans="1:10" ht="15.75" customHeight="1" x14ac:dyDescent="0.3">
      <c r="A50" s="4" t="s">
        <v>46</v>
      </c>
      <c r="B50" s="4" t="s">
        <v>61</v>
      </c>
      <c r="C50" s="4" t="s">
        <v>36</v>
      </c>
      <c r="D50" s="4" t="s">
        <v>29</v>
      </c>
      <c r="E50" s="4">
        <v>773.09</v>
      </c>
      <c r="F50" s="4">
        <v>13</v>
      </c>
      <c r="G50" s="4">
        <v>0.15</v>
      </c>
      <c r="H50" s="5">
        <v>45434</v>
      </c>
      <c r="I50" s="4">
        <v>229.99</v>
      </c>
      <c r="J50" s="13">
        <f t="shared" ca="1" si="5"/>
        <v>46146.906177777775</v>
      </c>
    </row>
    <row r="51" spans="1:10" ht="15.75" customHeight="1" x14ac:dyDescent="0.3">
      <c r="A51" s="4" t="s">
        <v>46</v>
      </c>
      <c r="B51" s="4" t="s">
        <v>53</v>
      </c>
      <c r="C51" s="4" t="s">
        <v>22</v>
      </c>
      <c r="D51" s="4" t="s">
        <v>23</v>
      </c>
      <c r="E51" s="4">
        <v>775.45</v>
      </c>
      <c r="F51" s="4">
        <v>6</v>
      </c>
      <c r="G51" s="4">
        <v>0.1</v>
      </c>
      <c r="H51" s="5">
        <v>45457</v>
      </c>
      <c r="I51" s="4">
        <v>174.48</v>
      </c>
      <c r="J51" s="13">
        <f t="shared" ca="1" si="5"/>
        <v>46146.906177777775</v>
      </c>
    </row>
    <row r="52" spans="1:10" ht="15.75" customHeight="1" x14ac:dyDescent="0.3">
      <c r="A52" s="4" t="s">
        <v>46</v>
      </c>
      <c r="B52" s="4" t="s">
        <v>12</v>
      </c>
      <c r="C52" s="4" t="s">
        <v>36</v>
      </c>
      <c r="D52" s="4" t="s">
        <v>41</v>
      </c>
      <c r="E52" s="4">
        <v>804.81</v>
      </c>
      <c r="F52" s="4">
        <v>1</v>
      </c>
      <c r="G52" s="4">
        <v>0.05</v>
      </c>
      <c r="H52" s="5">
        <v>45502</v>
      </c>
      <c r="I52" s="4">
        <v>344.06</v>
      </c>
      <c r="J52" s="13">
        <f t="shared" ca="1" si="5"/>
        <v>46146.906177777775</v>
      </c>
    </row>
    <row r="53" spans="1:10" ht="15.75" customHeight="1" x14ac:dyDescent="0.3">
      <c r="A53" s="4" t="s">
        <v>46</v>
      </c>
      <c r="B53" s="4" t="s">
        <v>58</v>
      </c>
      <c r="C53" s="4" t="s">
        <v>36</v>
      </c>
      <c r="D53" s="4" t="s">
        <v>23</v>
      </c>
      <c r="E53" s="4">
        <v>1014.09</v>
      </c>
      <c r="F53" s="4">
        <v>13</v>
      </c>
      <c r="G53" s="4">
        <v>0.2</v>
      </c>
      <c r="H53" s="5">
        <v>45567</v>
      </c>
      <c r="I53" s="4">
        <v>202.82</v>
      </c>
      <c r="J53" s="13">
        <f t="shared" ca="1" si="5"/>
        <v>46146.906177777775</v>
      </c>
    </row>
    <row r="54" spans="1:10" ht="15.75" customHeight="1" x14ac:dyDescent="0.3">
      <c r="A54" s="4" t="s">
        <v>46</v>
      </c>
      <c r="B54" s="4" t="s">
        <v>25</v>
      </c>
      <c r="C54" s="4" t="s">
        <v>20</v>
      </c>
      <c r="D54" s="4" t="s">
        <v>14</v>
      </c>
      <c r="E54" s="4">
        <v>1081.1400000000001</v>
      </c>
      <c r="F54" s="4">
        <v>19</v>
      </c>
      <c r="G54" s="4">
        <v>0.15</v>
      </c>
      <c r="H54" s="5">
        <v>45577</v>
      </c>
      <c r="I54" s="4">
        <v>367.59</v>
      </c>
      <c r="J54" s="13">
        <f t="shared" ca="1" si="5"/>
        <v>46146.906177777775</v>
      </c>
    </row>
    <row r="55" spans="1:10" ht="15.75" customHeight="1" x14ac:dyDescent="0.3">
      <c r="A55" s="4" t="s">
        <v>46</v>
      </c>
      <c r="B55" s="4" t="s">
        <v>25</v>
      </c>
      <c r="C55" s="4" t="s">
        <v>20</v>
      </c>
      <c r="D55" s="4" t="s">
        <v>41</v>
      </c>
      <c r="E55" s="4">
        <v>1014.22</v>
      </c>
      <c r="F55" s="4">
        <v>14</v>
      </c>
      <c r="G55" s="4">
        <v>0.05</v>
      </c>
      <c r="H55" s="5">
        <v>45599</v>
      </c>
      <c r="I55" s="4">
        <v>433.58</v>
      </c>
      <c r="J55" s="13">
        <f t="shared" ca="1" si="5"/>
        <v>46146.906177777775</v>
      </c>
    </row>
    <row r="56" spans="1:10" ht="15.75" customHeight="1" x14ac:dyDescent="0.3">
      <c r="A56" s="4" t="s">
        <v>46</v>
      </c>
      <c r="B56" s="4" t="s">
        <v>47</v>
      </c>
      <c r="C56" s="4" t="s">
        <v>36</v>
      </c>
      <c r="D56" s="4" t="s">
        <v>17</v>
      </c>
      <c r="E56" s="4">
        <v>1076.33</v>
      </c>
      <c r="F56" s="4">
        <v>2</v>
      </c>
      <c r="G56" s="4">
        <v>0.1</v>
      </c>
      <c r="H56" s="5">
        <v>45674</v>
      </c>
      <c r="I56" s="4">
        <v>484.35</v>
      </c>
      <c r="J56" s="13">
        <f t="shared" ca="1" si="5"/>
        <v>46146.906177777775</v>
      </c>
    </row>
    <row r="57" spans="1:10" ht="15.75" customHeight="1" x14ac:dyDescent="0.3">
      <c r="A57" s="4" t="s">
        <v>46</v>
      </c>
      <c r="B57" s="4" t="s">
        <v>33</v>
      </c>
      <c r="C57" s="4" t="s">
        <v>36</v>
      </c>
      <c r="D57" s="4" t="s">
        <v>41</v>
      </c>
      <c r="E57" s="4">
        <v>1250.71</v>
      </c>
      <c r="F57" s="4">
        <v>7</v>
      </c>
      <c r="G57" s="4">
        <v>0</v>
      </c>
      <c r="H57" s="5">
        <v>45674</v>
      </c>
      <c r="I57" s="4">
        <v>562.82000000000005</v>
      </c>
      <c r="J57" s="13">
        <f t="shared" ca="1" si="5"/>
        <v>46146.906177777775</v>
      </c>
    </row>
    <row r="58" spans="1:10" ht="15.75" customHeight="1" x14ac:dyDescent="0.3">
      <c r="A58" s="4" t="s">
        <v>46</v>
      </c>
      <c r="B58" s="4" t="s">
        <v>63</v>
      </c>
      <c r="C58" s="4" t="s">
        <v>20</v>
      </c>
      <c r="D58" s="4" t="s">
        <v>29</v>
      </c>
      <c r="E58" s="4">
        <v>1093.3800000000001</v>
      </c>
      <c r="F58" s="4">
        <v>17</v>
      </c>
      <c r="G58" s="4">
        <v>0.1</v>
      </c>
      <c r="H58" s="5">
        <v>45745</v>
      </c>
      <c r="I58" s="4">
        <v>344.41</v>
      </c>
      <c r="J58" s="13">
        <f t="shared" ca="1" si="5"/>
        <v>46146.906177777775</v>
      </c>
    </row>
    <row r="59" spans="1:10" ht="15.75" customHeight="1" x14ac:dyDescent="0.3">
      <c r="A59" s="4" t="s">
        <v>34</v>
      </c>
      <c r="B59" s="4" t="s">
        <v>35</v>
      </c>
      <c r="C59" s="4" t="s">
        <v>36</v>
      </c>
      <c r="D59" s="4" t="s">
        <v>14</v>
      </c>
      <c r="E59" s="4">
        <v>501.54</v>
      </c>
      <c r="F59" s="4">
        <v>11</v>
      </c>
      <c r="G59" s="4">
        <v>0.05</v>
      </c>
      <c r="H59" s="5">
        <v>45401</v>
      </c>
      <c r="I59" s="4">
        <v>190.59</v>
      </c>
      <c r="J59" s="13">
        <f t="shared" ca="1" si="5"/>
        <v>46146.906177777775</v>
      </c>
    </row>
    <row r="60" spans="1:10" ht="15.75" customHeight="1" x14ac:dyDescent="0.3">
      <c r="A60" s="4" t="s">
        <v>34</v>
      </c>
      <c r="B60" s="4" t="s">
        <v>40</v>
      </c>
      <c r="C60" s="4" t="s">
        <v>26</v>
      </c>
      <c r="D60" s="4" t="s">
        <v>23</v>
      </c>
      <c r="E60" s="4">
        <v>818.8</v>
      </c>
      <c r="F60" s="4">
        <v>15</v>
      </c>
      <c r="G60" s="4">
        <v>0.15</v>
      </c>
      <c r="H60" s="5">
        <v>45468</v>
      </c>
      <c r="I60" s="4">
        <v>173.99</v>
      </c>
      <c r="J60" s="13">
        <f t="shared" ca="1" si="5"/>
        <v>46146.906177777775</v>
      </c>
    </row>
    <row r="61" spans="1:10" ht="15.75" customHeight="1" x14ac:dyDescent="0.3">
      <c r="A61" s="4" t="s">
        <v>34</v>
      </c>
      <c r="B61" s="4" t="s">
        <v>40</v>
      </c>
      <c r="C61" s="4" t="s">
        <v>22</v>
      </c>
      <c r="D61" s="4" t="s">
        <v>23</v>
      </c>
      <c r="E61" s="4">
        <v>771.02</v>
      </c>
      <c r="F61" s="4">
        <v>1</v>
      </c>
      <c r="G61" s="4">
        <v>0</v>
      </c>
      <c r="H61" s="5">
        <v>45585</v>
      </c>
      <c r="I61" s="4">
        <v>192.76</v>
      </c>
      <c r="J61" s="13">
        <f t="shared" ca="1" si="5"/>
        <v>46146.906177777775</v>
      </c>
    </row>
    <row r="62" spans="1:10" ht="15.75" customHeight="1" x14ac:dyDescent="0.3">
      <c r="A62" s="4" t="s">
        <v>34</v>
      </c>
      <c r="B62" s="4" t="s">
        <v>63</v>
      </c>
      <c r="C62" s="4" t="s">
        <v>22</v>
      </c>
      <c r="D62" s="4" t="s">
        <v>29</v>
      </c>
      <c r="E62" s="4">
        <v>1350.33</v>
      </c>
      <c r="F62" s="4">
        <v>10</v>
      </c>
      <c r="G62" s="4">
        <v>0</v>
      </c>
      <c r="H62" s="5">
        <v>45615</v>
      </c>
      <c r="I62" s="4">
        <v>472.62</v>
      </c>
      <c r="J62" s="13">
        <f t="shared" ca="1" si="5"/>
        <v>46146.906177777775</v>
      </c>
    </row>
    <row r="63" spans="1:10" ht="15.75" customHeight="1" x14ac:dyDescent="0.3">
      <c r="A63" s="4" t="s">
        <v>34</v>
      </c>
      <c r="B63" s="4" t="s">
        <v>33</v>
      </c>
      <c r="C63" s="4" t="s">
        <v>26</v>
      </c>
      <c r="D63" s="4" t="s">
        <v>14</v>
      </c>
      <c r="E63" s="4">
        <v>1189.83</v>
      </c>
      <c r="F63" s="4">
        <v>2</v>
      </c>
      <c r="G63" s="4">
        <v>0.2</v>
      </c>
      <c r="H63" s="5">
        <v>45709</v>
      </c>
      <c r="I63" s="4">
        <v>380.75</v>
      </c>
      <c r="J63" s="13">
        <f t="shared" ca="1" si="5"/>
        <v>46146.906177777775</v>
      </c>
    </row>
    <row r="64" spans="1:10" ht="15.75" customHeight="1" x14ac:dyDescent="0.3">
      <c r="A64" s="4" t="s">
        <v>34</v>
      </c>
      <c r="B64" s="4" t="s">
        <v>55</v>
      </c>
      <c r="C64" s="4" t="s">
        <v>22</v>
      </c>
      <c r="D64" s="4" t="s">
        <v>17</v>
      </c>
      <c r="E64" s="4">
        <v>689.43</v>
      </c>
      <c r="F64" s="4">
        <v>9</v>
      </c>
      <c r="G64" s="4">
        <v>0.1</v>
      </c>
      <c r="H64" s="5">
        <v>45736</v>
      </c>
      <c r="I64" s="4">
        <v>310.24</v>
      </c>
      <c r="J64" s="13">
        <f t="shared" ca="1" si="5"/>
        <v>46146.906177777775</v>
      </c>
    </row>
    <row r="65" spans="1:10" ht="15.75" customHeight="1" x14ac:dyDescent="0.3">
      <c r="A65" s="4" t="s">
        <v>34</v>
      </c>
      <c r="B65" s="4" t="s">
        <v>28</v>
      </c>
      <c r="C65" s="4" t="s">
        <v>22</v>
      </c>
      <c r="D65" s="4" t="s">
        <v>29</v>
      </c>
      <c r="E65" s="4">
        <v>1184.25</v>
      </c>
      <c r="F65" s="4">
        <v>11</v>
      </c>
      <c r="G65" s="4">
        <v>0.2</v>
      </c>
      <c r="H65" s="5">
        <v>45742</v>
      </c>
      <c r="I65" s="4">
        <v>331.59</v>
      </c>
      <c r="J65" s="13">
        <f t="shared" ca="1" si="5"/>
        <v>46146.906177777775</v>
      </c>
    </row>
    <row r="66" spans="1:10" ht="15.75" customHeight="1" x14ac:dyDescent="0.3">
      <c r="A66" s="4" t="s">
        <v>37</v>
      </c>
      <c r="B66" s="4" t="s">
        <v>38</v>
      </c>
      <c r="C66" s="4" t="s">
        <v>36</v>
      </c>
      <c r="D66" s="4" t="s">
        <v>17</v>
      </c>
      <c r="E66" s="4">
        <v>737.31</v>
      </c>
      <c r="F66" s="4">
        <v>2</v>
      </c>
      <c r="G66" s="4">
        <v>0.05</v>
      </c>
      <c r="H66" s="5">
        <v>45401</v>
      </c>
      <c r="I66" s="4">
        <v>350.22</v>
      </c>
      <c r="J66" s="13">
        <f t="shared" ref="J66:J97" ca="1" si="6">NOW()</f>
        <v>46146.906177777775</v>
      </c>
    </row>
    <row r="67" spans="1:10" ht="15.75" customHeight="1" x14ac:dyDescent="0.3">
      <c r="A67" s="4" t="s">
        <v>37</v>
      </c>
      <c r="B67" s="4" t="s">
        <v>52</v>
      </c>
      <c r="C67" s="4" t="s">
        <v>22</v>
      </c>
      <c r="D67" s="4" t="s">
        <v>23</v>
      </c>
      <c r="E67" s="4">
        <v>1173.1199999999999</v>
      </c>
      <c r="F67" s="4">
        <v>18</v>
      </c>
      <c r="G67" s="4">
        <v>0</v>
      </c>
      <c r="H67" s="5">
        <v>45418</v>
      </c>
      <c r="I67" s="4">
        <v>293.27999999999997</v>
      </c>
      <c r="J67" s="13">
        <f t="shared" ca="1" si="6"/>
        <v>46146.906177777775</v>
      </c>
    </row>
    <row r="68" spans="1:10" ht="15.75" customHeight="1" x14ac:dyDescent="0.3">
      <c r="A68" s="4" t="s">
        <v>37</v>
      </c>
      <c r="B68" s="4" t="s">
        <v>57</v>
      </c>
      <c r="C68" s="4" t="s">
        <v>36</v>
      </c>
      <c r="D68" s="4" t="s">
        <v>41</v>
      </c>
      <c r="E68" s="4">
        <v>488.99</v>
      </c>
      <c r="F68" s="4">
        <v>9</v>
      </c>
      <c r="G68" s="4">
        <v>0</v>
      </c>
      <c r="H68" s="5">
        <v>45479</v>
      </c>
      <c r="I68" s="4">
        <v>220.05</v>
      </c>
      <c r="J68" s="13">
        <f t="shared" ca="1" si="6"/>
        <v>46146.906177777775</v>
      </c>
    </row>
    <row r="69" spans="1:10" ht="15.75" customHeight="1" x14ac:dyDescent="0.3">
      <c r="A69" s="4" t="s">
        <v>37</v>
      </c>
      <c r="B69" s="4" t="s">
        <v>31</v>
      </c>
      <c r="C69" s="4" t="s">
        <v>13</v>
      </c>
      <c r="D69" s="4" t="s">
        <v>29</v>
      </c>
      <c r="E69" s="4">
        <v>862.19</v>
      </c>
      <c r="F69" s="4">
        <v>18</v>
      </c>
      <c r="G69" s="4">
        <v>0.05</v>
      </c>
      <c r="H69" s="5">
        <v>45663</v>
      </c>
      <c r="I69" s="4">
        <v>286.68</v>
      </c>
      <c r="J69" s="13">
        <f t="shared" ca="1" si="6"/>
        <v>46146.906177777775</v>
      </c>
    </row>
    <row r="70" spans="1:10" ht="15.75" customHeight="1" x14ac:dyDescent="0.3">
      <c r="A70" s="4" t="s">
        <v>37</v>
      </c>
      <c r="B70" s="4" t="s">
        <v>38</v>
      </c>
      <c r="C70" s="4" t="s">
        <v>20</v>
      </c>
      <c r="D70" s="4" t="s">
        <v>14</v>
      </c>
      <c r="E70" s="4">
        <v>997.61</v>
      </c>
      <c r="F70" s="4">
        <v>8</v>
      </c>
      <c r="G70" s="4">
        <v>0.05</v>
      </c>
      <c r="H70" s="5">
        <v>45752</v>
      </c>
      <c r="I70" s="4">
        <v>379.09</v>
      </c>
      <c r="J70" s="13">
        <f t="shared" ca="1" si="6"/>
        <v>46146.906177777775</v>
      </c>
    </row>
    <row r="71" spans="1:10" ht="15.75" customHeight="1" x14ac:dyDescent="0.3">
      <c r="A71" s="4" t="s">
        <v>65</v>
      </c>
      <c r="B71" s="4" t="s">
        <v>33</v>
      </c>
      <c r="C71" s="4" t="s">
        <v>26</v>
      </c>
      <c r="D71" s="4" t="s">
        <v>41</v>
      </c>
      <c r="E71" s="4">
        <v>1001.57</v>
      </c>
      <c r="F71" s="4">
        <v>12</v>
      </c>
      <c r="G71" s="4">
        <v>0</v>
      </c>
      <c r="H71" s="5">
        <v>45450</v>
      </c>
      <c r="I71" s="4">
        <v>450.71</v>
      </c>
      <c r="J71" s="13">
        <f t="shared" ca="1" si="6"/>
        <v>46146.906177777775</v>
      </c>
    </row>
    <row r="72" spans="1:10" ht="15.75" customHeight="1" x14ac:dyDescent="0.3">
      <c r="A72" s="4" t="s">
        <v>65</v>
      </c>
      <c r="B72" s="4" t="s">
        <v>63</v>
      </c>
      <c r="C72" s="4" t="s">
        <v>20</v>
      </c>
      <c r="D72" s="4" t="s">
        <v>14</v>
      </c>
      <c r="E72" s="4">
        <v>1213.48</v>
      </c>
      <c r="F72" s="4">
        <v>5</v>
      </c>
      <c r="G72" s="4">
        <v>0.05</v>
      </c>
      <c r="H72" s="5">
        <v>45616</v>
      </c>
      <c r="I72" s="4">
        <v>461.12</v>
      </c>
      <c r="J72" s="13">
        <f t="shared" ca="1" si="6"/>
        <v>46146.906177777775</v>
      </c>
    </row>
    <row r="73" spans="1:10" ht="15.75" customHeight="1" x14ac:dyDescent="0.3">
      <c r="A73" s="4" t="s">
        <v>65</v>
      </c>
      <c r="B73" s="4" t="s">
        <v>71</v>
      </c>
      <c r="C73" s="4" t="s">
        <v>36</v>
      </c>
      <c r="D73" s="4" t="s">
        <v>17</v>
      </c>
      <c r="E73" s="4">
        <v>662.61</v>
      </c>
      <c r="F73" s="4">
        <v>11</v>
      </c>
      <c r="G73" s="4">
        <v>0.05</v>
      </c>
      <c r="H73" s="5">
        <v>45658</v>
      </c>
      <c r="I73" s="4">
        <v>314.74</v>
      </c>
      <c r="J73" s="13">
        <f t="shared" ca="1" si="6"/>
        <v>46146.906177777775</v>
      </c>
    </row>
    <row r="74" spans="1:10" ht="15.75" customHeight="1" x14ac:dyDescent="0.3">
      <c r="A74" s="4" t="s">
        <v>65</v>
      </c>
      <c r="B74" s="4" t="s">
        <v>31</v>
      </c>
      <c r="C74" s="4" t="s">
        <v>26</v>
      </c>
      <c r="D74" s="4" t="s">
        <v>14</v>
      </c>
      <c r="E74" s="4">
        <v>884.63</v>
      </c>
      <c r="F74" s="4">
        <v>18</v>
      </c>
      <c r="G74" s="4">
        <v>0.1</v>
      </c>
      <c r="H74" s="5">
        <v>45659</v>
      </c>
      <c r="I74" s="4">
        <v>318.47000000000003</v>
      </c>
      <c r="J74" s="13">
        <f t="shared" ca="1" si="6"/>
        <v>46146.906177777775</v>
      </c>
    </row>
    <row r="75" spans="1:10" ht="15.75" customHeight="1" x14ac:dyDescent="0.3">
      <c r="A75" s="4" t="s">
        <v>15</v>
      </c>
      <c r="B75" s="4" t="s">
        <v>16</v>
      </c>
      <c r="C75" s="4" t="s">
        <v>13</v>
      </c>
      <c r="D75" s="4" t="s">
        <v>17</v>
      </c>
      <c r="E75" s="4">
        <v>1101.28</v>
      </c>
      <c r="F75" s="4">
        <v>3</v>
      </c>
      <c r="G75" s="4">
        <v>0.2</v>
      </c>
      <c r="H75" s="5">
        <v>45393</v>
      </c>
      <c r="I75" s="4">
        <v>440.51</v>
      </c>
      <c r="J75" s="13">
        <f t="shared" ca="1" si="6"/>
        <v>46146.906177777775</v>
      </c>
    </row>
    <row r="76" spans="1:10" ht="15.75" customHeight="1" x14ac:dyDescent="0.3">
      <c r="A76" s="4" t="s">
        <v>15</v>
      </c>
      <c r="B76" s="4" t="s">
        <v>33</v>
      </c>
      <c r="C76" s="4" t="s">
        <v>36</v>
      </c>
      <c r="D76" s="4" t="s">
        <v>41</v>
      </c>
      <c r="E76" s="4">
        <v>925.31</v>
      </c>
      <c r="F76" s="4">
        <v>8</v>
      </c>
      <c r="G76" s="4">
        <v>0.1</v>
      </c>
      <c r="H76" s="5">
        <v>45418</v>
      </c>
      <c r="I76" s="4">
        <v>374.75</v>
      </c>
      <c r="J76" s="13">
        <f t="shared" ca="1" si="6"/>
        <v>46146.906177777775</v>
      </c>
    </row>
    <row r="77" spans="1:10" ht="15.75" customHeight="1" x14ac:dyDescent="0.3">
      <c r="A77" s="4" t="s">
        <v>15</v>
      </c>
      <c r="B77" s="4" t="s">
        <v>28</v>
      </c>
      <c r="C77" s="4" t="s">
        <v>13</v>
      </c>
      <c r="D77" s="4" t="s">
        <v>14</v>
      </c>
      <c r="E77" s="4">
        <v>472.38</v>
      </c>
      <c r="F77" s="4">
        <v>12</v>
      </c>
      <c r="G77" s="4">
        <v>0.2</v>
      </c>
      <c r="H77" s="5">
        <v>45429</v>
      </c>
      <c r="I77" s="4">
        <v>151.16</v>
      </c>
      <c r="J77" s="13">
        <f t="shared" ca="1" si="6"/>
        <v>46146.906177777775</v>
      </c>
    </row>
    <row r="78" spans="1:10" ht="15.75" customHeight="1" x14ac:dyDescent="0.3">
      <c r="A78" s="4" t="s">
        <v>15</v>
      </c>
      <c r="B78" s="4" t="s">
        <v>61</v>
      </c>
      <c r="C78" s="4" t="s">
        <v>13</v>
      </c>
      <c r="D78" s="4" t="s">
        <v>17</v>
      </c>
      <c r="E78" s="4">
        <v>1360.36</v>
      </c>
      <c r="F78" s="4">
        <v>17</v>
      </c>
      <c r="G78" s="4">
        <v>0</v>
      </c>
      <c r="H78" s="5">
        <v>45473</v>
      </c>
      <c r="I78" s="4">
        <v>680.18</v>
      </c>
      <c r="J78" s="13">
        <f t="shared" ca="1" si="6"/>
        <v>46146.906177777775</v>
      </c>
    </row>
    <row r="79" spans="1:10" ht="15.75" customHeight="1" x14ac:dyDescent="0.3">
      <c r="A79" s="4" t="s">
        <v>15</v>
      </c>
      <c r="B79" s="4" t="s">
        <v>73</v>
      </c>
      <c r="C79" s="4" t="s">
        <v>22</v>
      </c>
      <c r="D79" s="4" t="s">
        <v>14</v>
      </c>
      <c r="E79" s="4">
        <v>804.45</v>
      </c>
      <c r="F79" s="4">
        <v>5</v>
      </c>
      <c r="G79" s="4">
        <v>0.2</v>
      </c>
      <c r="H79" s="5">
        <v>45509</v>
      </c>
      <c r="I79" s="4">
        <v>257.42</v>
      </c>
      <c r="J79" s="13">
        <f t="shared" ca="1" si="6"/>
        <v>46146.906177777775</v>
      </c>
    </row>
    <row r="80" spans="1:10" ht="15.75" customHeight="1" x14ac:dyDescent="0.3">
      <c r="A80" s="4" t="s">
        <v>15</v>
      </c>
      <c r="B80" s="4" t="s">
        <v>31</v>
      </c>
      <c r="C80" s="4" t="s">
        <v>13</v>
      </c>
      <c r="D80" s="4" t="s">
        <v>23</v>
      </c>
      <c r="E80" s="4">
        <v>1215.26</v>
      </c>
      <c r="F80" s="4">
        <v>5</v>
      </c>
      <c r="G80" s="4">
        <v>0.15</v>
      </c>
      <c r="H80" s="5">
        <v>45513</v>
      </c>
      <c r="I80" s="4">
        <v>258.24</v>
      </c>
      <c r="J80" s="13">
        <f t="shared" ca="1" si="6"/>
        <v>46146.906177777775</v>
      </c>
    </row>
    <row r="81" spans="1:10" ht="15.75" customHeight="1" x14ac:dyDescent="0.3">
      <c r="A81" s="4" t="s">
        <v>15</v>
      </c>
      <c r="B81" s="4" t="s">
        <v>50</v>
      </c>
      <c r="C81" s="4" t="s">
        <v>26</v>
      </c>
      <c r="D81" s="4" t="s">
        <v>23</v>
      </c>
      <c r="E81" s="4">
        <v>925.29</v>
      </c>
      <c r="F81" s="4">
        <v>17</v>
      </c>
      <c r="G81" s="4">
        <v>0</v>
      </c>
      <c r="H81" s="5">
        <v>45570</v>
      </c>
      <c r="I81" s="4">
        <v>231.32</v>
      </c>
      <c r="J81" s="13">
        <f t="shared" ca="1" si="6"/>
        <v>46146.906177777775</v>
      </c>
    </row>
    <row r="82" spans="1:10" ht="15.75" customHeight="1" x14ac:dyDescent="0.3">
      <c r="A82" s="4" t="s">
        <v>15</v>
      </c>
      <c r="B82" s="4" t="s">
        <v>57</v>
      </c>
      <c r="C82" s="4" t="s">
        <v>13</v>
      </c>
      <c r="D82" s="4" t="s">
        <v>23</v>
      </c>
      <c r="E82" s="4">
        <v>688.83</v>
      </c>
      <c r="F82" s="4">
        <v>15</v>
      </c>
      <c r="G82" s="4">
        <v>0</v>
      </c>
      <c r="H82" s="5">
        <v>45595</v>
      </c>
      <c r="I82" s="4">
        <v>172.21</v>
      </c>
      <c r="J82" s="13">
        <f t="shared" ca="1" si="6"/>
        <v>46146.906177777775</v>
      </c>
    </row>
    <row r="83" spans="1:10" ht="15.75" customHeight="1" x14ac:dyDescent="0.3">
      <c r="A83" s="4" t="s">
        <v>15</v>
      </c>
      <c r="B83" s="4" t="s">
        <v>47</v>
      </c>
      <c r="C83" s="4" t="s">
        <v>26</v>
      </c>
      <c r="D83" s="4" t="s">
        <v>17</v>
      </c>
      <c r="E83" s="4">
        <v>845.84</v>
      </c>
      <c r="F83" s="4">
        <v>4</v>
      </c>
      <c r="G83" s="4">
        <v>0</v>
      </c>
      <c r="H83" s="5">
        <v>45707</v>
      </c>
      <c r="I83" s="4">
        <v>422.92</v>
      </c>
      <c r="J83" s="13">
        <f t="shared" ca="1" si="6"/>
        <v>46146.906177777775</v>
      </c>
    </row>
    <row r="84" spans="1:10" ht="15.75" customHeight="1" x14ac:dyDescent="0.3">
      <c r="A84" s="4" t="s">
        <v>75</v>
      </c>
      <c r="B84" s="4" t="s">
        <v>16</v>
      </c>
      <c r="C84" s="4" t="s">
        <v>22</v>
      </c>
      <c r="D84" s="4" t="s">
        <v>29</v>
      </c>
      <c r="E84" s="4">
        <v>727.73</v>
      </c>
      <c r="F84" s="4">
        <v>1</v>
      </c>
      <c r="G84" s="4">
        <v>0.1</v>
      </c>
      <c r="H84" s="5">
        <v>45552</v>
      </c>
      <c r="I84" s="4">
        <v>229.23</v>
      </c>
      <c r="J84" s="13">
        <f t="shared" ca="1" si="6"/>
        <v>46146.906177777775</v>
      </c>
    </row>
    <row r="85" spans="1:10" ht="15.75" customHeight="1" x14ac:dyDescent="0.3">
      <c r="A85" s="4" t="s">
        <v>75</v>
      </c>
      <c r="B85" s="4" t="s">
        <v>31</v>
      </c>
      <c r="C85" s="4" t="s">
        <v>36</v>
      </c>
      <c r="D85" s="4" t="s">
        <v>14</v>
      </c>
      <c r="E85" s="4">
        <v>1249.0999999999999</v>
      </c>
      <c r="F85" s="4">
        <v>4</v>
      </c>
      <c r="G85" s="4">
        <v>0.05</v>
      </c>
      <c r="H85" s="5">
        <v>45597</v>
      </c>
      <c r="I85" s="4">
        <v>474.66</v>
      </c>
      <c r="J85" s="13">
        <f t="shared" ca="1" si="6"/>
        <v>46146.906177777775</v>
      </c>
    </row>
    <row r="86" spans="1:10" ht="15.75" customHeight="1" x14ac:dyDescent="0.3">
      <c r="A86" s="4" t="s">
        <v>75</v>
      </c>
      <c r="B86" s="4" t="s">
        <v>61</v>
      </c>
      <c r="C86" s="4" t="s">
        <v>26</v>
      </c>
      <c r="D86" s="4" t="s">
        <v>17</v>
      </c>
      <c r="E86" s="4">
        <v>1171.18</v>
      </c>
      <c r="F86" s="4">
        <v>19</v>
      </c>
      <c r="G86" s="4">
        <v>0.05</v>
      </c>
      <c r="H86" s="5">
        <v>45667</v>
      </c>
      <c r="I86" s="4">
        <v>556.30999999999995</v>
      </c>
      <c r="J86" s="13">
        <f t="shared" ca="1" si="6"/>
        <v>46146.906177777775</v>
      </c>
    </row>
    <row r="87" spans="1:10" ht="15.75" customHeight="1" x14ac:dyDescent="0.3">
      <c r="A87" s="4" t="s">
        <v>75</v>
      </c>
      <c r="B87" s="4" t="s">
        <v>55</v>
      </c>
      <c r="C87" s="4" t="s">
        <v>36</v>
      </c>
      <c r="D87" s="4" t="s">
        <v>14</v>
      </c>
      <c r="E87" s="4">
        <v>1014.43</v>
      </c>
      <c r="F87" s="4">
        <v>2</v>
      </c>
      <c r="G87" s="4">
        <v>0.15</v>
      </c>
      <c r="H87" s="5">
        <v>45713</v>
      </c>
      <c r="I87" s="4">
        <v>344.91</v>
      </c>
      <c r="J87" s="13">
        <f t="shared" ca="1" si="6"/>
        <v>46146.906177777775</v>
      </c>
    </row>
    <row r="88" spans="1:10" ht="15.75" customHeight="1" x14ac:dyDescent="0.3">
      <c r="A88" s="4" t="s">
        <v>39</v>
      </c>
      <c r="B88" s="4" t="s">
        <v>40</v>
      </c>
      <c r="C88" s="4" t="s">
        <v>13</v>
      </c>
      <c r="D88" s="4" t="s">
        <v>41</v>
      </c>
      <c r="E88" s="4">
        <v>1572.82</v>
      </c>
      <c r="F88" s="4">
        <v>6</v>
      </c>
      <c r="G88" s="4">
        <v>0.05</v>
      </c>
      <c r="H88" s="5">
        <v>45402</v>
      </c>
      <c r="I88" s="4">
        <v>672.38</v>
      </c>
      <c r="J88" s="13">
        <f t="shared" ca="1" si="6"/>
        <v>46146.906177777775</v>
      </c>
    </row>
    <row r="89" spans="1:10" ht="15.75" customHeight="1" x14ac:dyDescent="0.3">
      <c r="A89" s="4" t="s">
        <v>39</v>
      </c>
      <c r="B89" s="4" t="s">
        <v>38</v>
      </c>
      <c r="C89" s="4" t="s">
        <v>36</v>
      </c>
      <c r="D89" s="4" t="s">
        <v>14</v>
      </c>
      <c r="E89" s="4">
        <v>1343.13</v>
      </c>
      <c r="F89" s="4">
        <v>14</v>
      </c>
      <c r="G89" s="4">
        <v>0.15</v>
      </c>
      <c r="H89" s="5">
        <v>45404</v>
      </c>
      <c r="I89" s="4">
        <v>456.66</v>
      </c>
      <c r="J89" s="13">
        <f t="shared" ca="1" si="6"/>
        <v>46146.906177777775</v>
      </c>
    </row>
    <row r="90" spans="1:10" ht="15.75" customHeight="1" x14ac:dyDescent="0.3">
      <c r="A90" s="4" t="s">
        <v>39</v>
      </c>
      <c r="B90" s="4" t="s">
        <v>66</v>
      </c>
      <c r="C90" s="4" t="s">
        <v>22</v>
      </c>
      <c r="D90" s="4" t="s">
        <v>14</v>
      </c>
      <c r="E90" s="4">
        <v>961.62</v>
      </c>
      <c r="F90" s="4">
        <v>8</v>
      </c>
      <c r="G90" s="4">
        <v>0.2</v>
      </c>
      <c r="H90" s="5">
        <v>45577</v>
      </c>
      <c r="I90" s="4">
        <v>307.72000000000003</v>
      </c>
      <c r="J90" s="13">
        <f t="shared" ca="1" si="6"/>
        <v>46146.906177777775</v>
      </c>
    </row>
    <row r="91" spans="1:10" ht="15.75" customHeight="1" x14ac:dyDescent="0.3">
      <c r="A91" s="4" t="s">
        <v>39</v>
      </c>
      <c r="B91" s="4" t="s">
        <v>73</v>
      </c>
      <c r="C91" s="4" t="s">
        <v>22</v>
      </c>
      <c r="D91" s="4" t="s">
        <v>29</v>
      </c>
      <c r="E91" s="4">
        <v>853.86</v>
      </c>
      <c r="F91" s="4">
        <v>8</v>
      </c>
      <c r="G91" s="4">
        <v>0.1</v>
      </c>
      <c r="H91" s="5">
        <v>45622</v>
      </c>
      <c r="I91" s="4">
        <v>268.97000000000003</v>
      </c>
      <c r="J91" s="13">
        <f t="shared" ca="1" si="6"/>
        <v>46146.906177777775</v>
      </c>
    </row>
    <row r="92" spans="1:10" ht="15.75" customHeight="1" x14ac:dyDescent="0.3">
      <c r="A92" s="4" t="s">
        <v>39</v>
      </c>
      <c r="B92" s="4" t="s">
        <v>40</v>
      </c>
      <c r="C92" s="4" t="s">
        <v>22</v>
      </c>
      <c r="D92" s="4" t="s">
        <v>14</v>
      </c>
      <c r="E92" s="4">
        <v>1064.19</v>
      </c>
      <c r="F92" s="4">
        <v>18</v>
      </c>
      <c r="G92" s="4">
        <v>0.05</v>
      </c>
      <c r="H92" s="5">
        <v>45725</v>
      </c>
      <c r="I92" s="4">
        <v>404.39</v>
      </c>
      <c r="J92" s="13">
        <f t="shared" ca="1" si="6"/>
        <v>46146.906177777775</v>
      </c>
    </row>
    <row r="93" spans="1:10" ht="15.75" customHeight="1" x14ac:dyDescent="0.3">
      <c r="A93" s="4" t="s">
        <v>39</v>
      </c>
      <c r="B93" s="4" t="s">
        <v>45</v>
      </c>
      <c r="C93" s="4" t="s">
        <v>13</v>
      </c>
      <c r="D93" s="4" t="s">
        <v>17</v>
      </c>
      <c r="E93" s="4">
        <v>934.27</v>
      </c>
      <c r="F93" s="4">
        <v>8</v>
      </c>
      <c r="G93" s="4">
        <v>0.15</v>
      </c>
      <c r="H93" s="5">
        <v>45746</v>
      </c>
      <c r="I93" s="4">
        <v>397.06</v>
      </c>
      <c r="J93" s="13">
        <f t="shared" ca="1" si="6"/>
        <v>46146.906177777775</v>
      </c>
    </row>
    <row r="94" spans="1:10" ht="15.75" customHeight="1" x14ac:dyDescent="0.3">
      <c r="A94" s="4" t="s">
        <v>60</v>
      </c>
      <c r="B94" s="4" t="s">
        <v>55</v>
      </c>
      <c r="C94" s="4" t="s">
        <v>26</v>
      </c>
      <c r="D94" s="4" t="s">
        <v>41</v>
      </c>
      <c r="E94" s="4">
        <v>1200.9000000000001</v>
      </c>
      <c r="F94" s="4">
        <v>14</v>
      </c>
      <c r="G94" s="4">
        <v>0.05</v>
      </c>
      <c r="H94" s="5">
        <v>45429</v>
      </c>
      <c r="I94" s="4">
        <v>513.38</v>
      </c>
      <c r="J94" s="13">
        <f t="shared" ca="1" si="6"/>
        <v>46146.906177777775</v>
      </c>
    </row>
    <row r="95" spans="1:10" ht="15.75" customHeight="1" x14ac:dyDescent="0.3">
      <c r="A95" s="4" t="s">
        <v>60</v>
      </c>
      <c r="B95" s="4" t="s">
        <v>25</v>
      </c>
      <c r="C95" s="4" t="s">
        <v>22</v>
      </c>
      <c r="D95" s="4" t="s">
        <v>17</v>
      </c>
      <c r="E95" s="4">
        <v>1226.6199999999999</v>
      </c>
      <c r="F95" s="4">
        <v>7</v>
      </c>
      <c r="G95" s="4">
        <v>0.1</v>
      </c>
      <c r="H95" s="5">
        <v>45463</v>
      </c>
      <c r="I95" s="4">
        <v>551.98</v>
      </c>
      <c r="J95" s="13">
        <f t="shared" ca="1" si="6"/>
        <v>46146.906177777775</v>
      </c>
    </row>
    <row r="96" spans="1:10" ht="15.75" customHeight="1" x14ac:dyDescent="0.3">
      <c r="A96" s="4" t="s">
        <v>60</v>
      </c>
      <c r="B96" s="4" t="s">
        <v>38</v>
      </c>
      <c r="C96" s="4" t="s">
        <v>13</v>
      </c>
      <c r="D96" s="4" t="s">
        <v>17</v>
      </c>
      <c r="E96" s="4">
        <v>1168.8900000000001</v>
      </c>
      <c r="F96" s="4">
        <v>4</v>
      </c>
      <c r="G96" s="4">
        <v>0.1</v>
      </c>
      <c r="H96" s="5">
        <v>45544</v>
      </c>
      <c r="I96" s="4">
        <v>526</v>
      </c>
      <c r="J96" s="13">
        <f t="shared" ca="1" si="6"/>
        <v>46146.906177777775</v>
      </c>
    </row>
    <row r="97" spans="1:10" ht="15.75" customHeight="1" x14ac:dyDescent="0.3">
      <c r="A97" s="4" t="s">
        <v>60</v>
      </c>
      <c r="B97" s="4" t="s">
        <v>25</v>
      </c>
      <c r="C97" s="4" t="s">
        <v>13</v>
      </c>
      <c r="D97" s="4" t="s">
        <v>17</v>
      </c>
      <c r="E97" s="4">
        <v>1923.66</v>
      </c>
      <c r="F97" s="4">
        <v>9</v>
      </c>
      <c r="G97" s="4">
        <v>0.2</v>
      </c>
      <c r="H97" s="5">
        <v>45580</v>
      </c>
      <c r="I97" s="4">
        <v>769.46</v>
      </c>
      <c r="J97" s="13">
        <f t="shared" ca="1" si="6"/>
        <v>46146.906177777775</v>
      </c>
    </row>
    <row r="98" spans="1:10" ht="15.75" customHeight="1" x14ac:dyDescent="0.3">
      <c r="A98" s="4" t="s">
        <v>60</v>
      </c>
      <c r="B98" s="4" t="s">
        <v>73</v>
      </c>
      <c r="C98" s="4" t="s">
        <v>13</v>
      </c>
      <c r="D98" s="4" t="s">
        <v>29</v>
      </c>
      <c r="E98" s="4">
        <v>820.19</v>
      </c>
      <c r="F98" s="4">
        <v>4</v>
      </c>
      <c r="G98" s="4">
        <v>0.2</v>
      </c>
      <c r="H98" s="5">
        <v>45630</v>
      </c>
      <c r="I98" s="4">
        <v>229.65</v>
      </c>
      <c r="J98" s="13">
        <f t="shared" ref="J98:J129" ca="1" si="7">NOW()</f>
        <v>46146.906177777775</v>
      </c>
    </row>
    <row r="99" spans="1:10" ht="15.75" customHeight="1" x14ac:dyDescent="0.3">
      <c r="A99" s="4" t="s">
        <v>60</v>
      </c>
      <c r="B99" s="4" t="s">
        <v>40</v>
      </c>
      <c r="C99" s="4" t="s">
        <v>36</v>
      </c>
      <c r="D99" s="4" t="s">
        <v>23</v>
      </c>
      <c r="E99" s="4">
        <v>511.74</v>
      </c>
      <c r="F99" s="4">
        <v>8</v>
      </c>
      <c r="G99" s="4">
        <v>0.05</v>
      </c>
      <c r="H99" s="5">
        <v>45631</v>
      </c>
      <c r="I99" s="4">
        <v>121.54</v>
      </c>
      <c r="J99" s="13">
        <f t="shared" ca="1" si="7"/>
        <v>46146.906177777775</v>
      </c>
    </row>
    <row r="100" spans="1:10" ht="15.75" customHeight="1" x14ac:dyDescent="0.3">
      <c r="A100" s="4" t="s">
        <v>60</v>
      </c>
      <c r="B100" s="4" t="s">
        <v>16</v>
      </c>
      <c r="C100" s="4" t="s">
        <v>22</v>
      </c>
      <c r="D100" s="4" t="s">
        <v>29</v>
      </c>
      <c r="E100" s="4">
        <v>1054.56</v>
      </c>
      <c r="F100" s="4">
        <v>11</v>
      </c>
      <c r="G100" s="4">
        <v>0.1</v>
      </c>
      <c r="H100" s="5">
        <v>45669</v>
      </c>
      <c r="I100" s="4">
        <v>332.19</v>
      </c>
      <c r="J100" s="13">
        <f t="shared" ca="1" si="7"/>
        <v>46146.906177777775</v>
      </c>
    </row>
    <row r="101" spans="1:10" ht="15.75" customHeight="1" x14ac:dyDescent="0.3">
      <c r="A101" s="4" t="s">
        <v>60</v>
      </c>
      <c r="B101" s="4" t="s">
        <v>25</v>
      </c>
      <c r="C101" s="4" t="s">
        <v>26</v>
      </c>
      <c r="D101" s="4" t="s">
        <v>23</v>
      </c>
      <c r="E101" s="4">
        <v>1681.21</v>
      </c>
      <c r="F101" s="4">
        <v>5</v>
      </c>
      <c r="G101" s="4">
        <v>0.2</v>
      </c>
      <c r="H101" s="5">
        <v>45670</v>
      </c>
      <c r="I101" s="4">
        <v>336.24</v>
      </c>
      <c r="J101" s="13">
        <f t="shared" ca="1" si="7"/>
        <v>46146.906177777775</v>
      </c>
    </row>
    <row r="102" spans="1:10" ht="15.75" customHeight="1" x14ac:dyDescent="0.3">
      <c r="A102" s="4" t="s">
        <v>60</v>
      </c>
      <c r="B102" s="4" t="s">
        <v>38</v>
      </c>
      <c r="C102" s="4" t="s">
        <v>13</v>
      </c>
      <c r="D102" s="4" t="s">
        <v>17</v>
      </c>
      <c r="E102" s="4">
        <v>379.77</v>
      </c>
      <c r="F102" s="4">
        <v>9</v>
      </c>
      <c r="G102" s="4">
        <v>0.05</v>
      </c>
      <c r="H102" s="5">
        <v>45673</v>
      </c>
      <c r="I102" s="4">
        <v>180.39</v>
      </c>
      <c r="J102" s="13">
        <f t="shared" ca="1" si="7"/>
        <v>46146.906177777775</v>
      </c>
    </row>
    <row r="103" spans="1:10" ht="15.75" customHeight="1" x14ac:dyDescent="0.3">
      <c r="A103" s="4" t="s">
        <v>60</v>
      </c>
      <c r="B103" s="4" t="s">
        <v>47</v>
      </c>
      <c r="C103" s="4" t="s">
        <v>20</v>
      </c>
      <c r="D103" s="4" t="s">
        <v>14</v>
      </c>
      <c r="E103" s="4">
        <v>1098.08</v>
      </c>
      <c r="F103" s="4">
        <v>9</v>
      </c>
      <c r="G103" s="4">
        <v>0.1</v>
      </c>
      <c r="H103" s="5">
        <v>45692</v>
      </c>
      <c r="I103" s="4">
        <v>395.31</v>
      </c>
      <c r="J103" s="13">
        <f t="shared" ca="1" si="7"/>
        <v>46146.906177777775</v>
      </c>
    </row>
    <row r="104" spans="1:10" ht="15.75" customHeight="1" x14ac:dyDescent="0.3">
      <c r="A104" s="4" t="s">
        <v>60</v>
      </c>
      <c r="B104" s="4" t="s">
        <v>45</v>
      </c>
      <c r="C104" s="4" t="s">
        <v>13</v>
      </c>
      <c r="D104" s="4" t="s">
        <v>41</v>
      </c>
      <c r="E104" s="4">
        <v>545.44000000000005</v>
      </c>
      <c r="F104" s="4">
        <v>17</v>
      </c>
      <c r="G104" s="4">
        <v>0</v>
      </c>
      <c r="H104" s="5">
        <v>45752</v>
      </c>
      <c r="I104" s="4">
        <v>245.45</v>
      </c>
      <c r="J104" s="13">
        <f t="shared" ca="1" si="7"/>
        <v>46146.906177777775</v>
      </c>
    </row>
    <row r="105" spans="1:10" ht="15.75" customHeight="1" x14ac:dyDescent="0.3">
      <c r="A105" s="4" t="s">
        <v>62</v>
      </c>
      <c r="B105" s="4" t="s">
        <v>63</v>
      </c>
      <c r="C105" s="4" t="s">
        <v>20</v>
      </c>
      <c r="D105" s="4" t="s">
        <v>14</v>
      </c>
      <c r="E105" s="4">
        <v>580.42999999999995</v>
      </c>
      <c r="F105" s="4">
        <v>19</v>
      </c>
      <c r="G105" s="4">
        <v>0.15</v>
      </c>
      <c r="H105" s="5">
        <v>45435</v>
      </c>
      <c r="I105" s="4">
        <v>197.35</v>
      </c>
      <c r="J105" s="13">
        <f t="shared" ca="1" si="7"/>
        <v>46146.906177777775</v>
      </c>
    </row>
    <row r="106" spans="1:10" ht="15.75" customHeight="1" x14ac:dyDescent="0.3">
      <c r="A106" s="4" t="s">
        <v>62</v>
      </c>
      <c r="B106" s="4" t="s">
        <v>28</v>
      </c>
      <c r="C106" s="4" t="s">
        <v>26</v>
      </c>
      <c r="D106" s="4" t="s">
        <v>17</v>
      </c>
      <c r="E106" s="4">
        <v>990.19</v>
      </c>
      <c r="F106" s="4">
        <v>8</v>
      </c>
      <c r="G106" s="4">
        <v>0.1</v>
      </c>
      <c r="H106" s="5">
        <v>45565</v>
      </c>
      <c r="I106" s="4">
        <v>445.59</v>
      </c>
      <c r="J106" s="13">
        <f t="shared" ca="1" si="7"/>
        <v>46146.906177777775</v>
      </c>
    </row>
    <row r="107" spans="1:10" ht="15.75" customHeight="1" x14ac:dyDescent="0.3">
      <c r="A107" s="4" t="s">
        <v>62</v>
      </c>
      <c r="B107" s="4" t="s">
        <v>19</v>
      </c>
      <c r="C107" s="4" t="s">
        <v>22</v>
      </c>
      <c r="D107" s="4" t="s">
        <v>17</v>
      </c>
      <c r="E107" s="4">
        <v>870.23</v>
      </c>
      <c r="F107" s="4">
        <v>5</v>
      </c>
      <c r="G107" s="4">
        <v>0.05</v>
      </c>
      <c r="H107" s="5">
        <v>45660</v>
      </c>
      <c r="I107" s="4">
        <v>413.36</v>
      </c>
      <c r="J107" s="13">
        <f t="shared" ca="1" si="7"/>
        <v>46146.906177777775</v>
      </c>
    </row>
    <row r="108" spans="1:10" ht="15.75" customHeight="1" x14ac:dyDescent="0.3">
      <c r="A108" s="4" t="s">
        <v>62</v>
      </c>
      <c r="B108" s="4" t="s">
        <v>38</v>
      </c>
      <c r="C108" s="4" t="s">
        <v>22</v>
      </c>
      <c r="D108" s="4" t="s">
        <v>17</v>
      </c>
      <c r="E108" s="4">
        <v>928.32</v>
      </c>
      <c r="F108" s="4">
        <v>2</v>
      </c>
      <c r="G108" s="4">
        <v>0.05</v>
      </c>
      <c r="H108" s="5">
        <v>45754</v>
      </c>
      <c r="I108" s="4">
        <v>440.95</v>
      </c>
      <c r="J108" s="13">
        <f t="shared" ca="1" si="7"/>
        <v>46146.906177777775</v>
      </c>
    </row>
    <row r="109" spans="1:10" ht="15.75" customHeight="1" x14ac:dyDescent="0.3">
      <c r="A109" s="4" t="s">
        <v>18</v>
      </c>
      <c r="B109" s="4" t="s">
        <v>19</v>
      </c>
      <c r="C109" s="4" t="s">
        <v>20</v>
      </c>
      <c r="D109" s="4" t="s">
        <v>14</v>
      </c>
      <c r="E109" s="4">
        <v>713.34</v>
      </c>
      <c r="F109" s="4">
        <v>17</v>
      </c>
      <c r="G109" s="4">
        <v>0</v>
      </c>
      <c r="H109" s="5">
        <v>45396</v>
      </c>
      <c r="I109" s="4">
        <v>285.33999999999997</v>
      </c>
      <c r="J109" s="13">
        <f t="shared" ca="1" si="7"/>
        <v>46146.906177777775</v>
      </c>
    </row>
    <row r="110" spans="1:10" ht="15.75" customHeight="1" x14ac:dyDescent="0.3">
      <c r="A110" s="4" t="s">
        <v>18</v>
      </c>
      <c r="B110" s="4" t="s">
        <v>64</v>
      </c>
      <c r="C110" s="4" t="s">
        <v>36</v>
      </c>
      <c r="D110" s="4" t="s">
        <v>23</v>
      </c>
      <c r="E110" s="4">
        <v>856.7</v>
      </c>
      <c r="F110" s="4">
        <v>2</v>
      </c>
      <c r="G110" s="4">
        <v>0</v>
      </c>
      <c r="H110" s="5">
        <v>45449</v>
      </c>
      <c r="I110" s="4">
        <v>214.18</v>
      </c>
      <c r="J110" s="13">
        <f t="shared" ca="1" si="7"/>
        <v>46146.906177777775</v>
      </c>
    </row>
    <row r="111" spans="1:10" ht="15.75" customHeight="1" x14ac:dyDescent="0.3">
      <c r="A111" s="4" t="s">
        <v>18</v>
      </c>
      <c r="B111" s="4" t="s">
        <v>66</v>
      </c>
      <c r="C111" s="4" t="s">
        <v>13</v>
      </c>
      <c r="D111" s="4" t="s">
        <v>41</v>
      </c>
      <c r="E111" s="4">
        <v>826.93</v>
      </c>
      <c r="F111" s="4">
        <v>10</v>
      </c>
      <c r="G111" s="4">
        <v>0.2</v>
      </c>
      <c r="H111" s="5">
        <v>45564</v>
      </c>
      <c r="I111" s="4">
        <v>297.69</v>
      </c>
      <c r="J111" s="13">
        <f t="shared" ca="1" si="7"/>
        <v>46146.906177777775</v>
      </c>
    </row>
    <row r="112" spans="1:10" ht="15.75" customHeight="1" x14ac:dyDescent="0.3">
      <c r="A112" s="4" t="s">
        <v>18</v>
      </c>
      <c r="B112" s="4" t="s">
        <v>33</v>
      </c>
      <c r="C112" s="4" t="s">
        <v>36</v>
      </c>
      <c r="D112" s="4" t="s">
        <v>17</v>
      </c>
      <c r="E112" s="4">
        <v>1022.23</v>
      </c>
      <c r="F112" s="4">
        <v>8</v>
      </c>
      <c r="G112" s="4">
        <v>0.1</v>
      </c>
      <c r="H112" s="5">
        <v>45717</v>
      </c>
      <c r="I112" s="4">
        <v>460</v>
      </c>
      <c r="J112" s="13">
        <f t="shared" ca="1" si="7"/>
        <v>46146.906177777775</v>
      </c>
    </row>
    <row r="113" spans="1:10" ht="15.75" customHeight="1" x14ac:dyDescent="0.3">
      <c r="A113" s="4" t="s">
        <v>77</v>
      </c>
      <c r="B113" s="4" t="s">
        <v>49</v>
      </c>
      <c r="C113" s="4" t="s">
        <v>22</v>
      </c>
      <c r="D113" s="4" t="s">
        <v>14</v>
      </c>
      <c r="E113" s="4">
        <v>966.3</v>
      </c>
      <c r="F113" s="4">
        <v>2</v>
      </c>
      <c r="G113" s="4">
        <v>0.15</v>
      </c>
      <c r="H113" s="5">
        <v>45557</v>
      </c>
      <c r="I113" s="4">
        <v>328.54</v>
      </c>
      <c r="J113" s="13">
        <f t="shared" ca="1" si="7"/>
        <v>46146.906177777775</v>
      </c>
    </row>
    <row r="114" spans="1:10" ht="15.75" customHeight="1" x14ac:dyDescent="0.3">
      <c r="A114" s="4" t="s">
        <v>77</v>
      </c>
      <c r="B114" s="4" t="s">
        <v>47</v>
      </c>
      <c r="C114" s="4" t="s">
        <v>22</v>
      </c>
      <c r="D114" s="4" t="s">
        <v>23</v>
      </c>
      <c r="E114" s="4">
        <v>1061.04</v>
      </c>
      <c r="F114" s="4">
        <v>1</v>
      </c>
      <c r="G114" s="4">
        <v>0</v>
      </c>
      <c r="H114" s="5">
        <v>45624</v>
      </c>
      <c r="I114" s="4">
        <v>265.26</v>
      </c>
      <c r="J114" s="13">
        <f t="shared" ca="1" si="7"/>
        <v>46146.906177777775</v>
      </c>
    </row>
    <row r="115" spans="1:10" ht="15.75" customHeight="1" x14ac:dyDescent="0.3">
      <c r="A115" s="4" t="s">
        <v>77</v>
      </c>
      <c r="B115" s="4" t="s">
        <v>50</v>
      </c>
      <c r="C115" s="4" t="s">
        <v>26</v>
      </c>
      <c r="D115" s="4" t="s">
        <v>14</v>
      </c>
      <c r="E115" s="4">
        <v>640.64</v>
      </c>
      <c r="F115" s="4">
        <v>11</v>
      </c>
      <c r="G115" s="4">
        <v>0.2</v>
      </c>
      <c r="H115" s="5">
        <v>45678</v>
      </c>
      <c r="I115" s="4">
        <v>205</v>
      </c>
      <c r="J115" s="13">
        <f t="shared" ca="1" si="7"/>
        <v>46146.906177777775</v>
      </c>
    </row>
    <row r="116" spans="1:10" ht="15.75" customHeight="1" x14ac:dyDescent="0.3">
      <c r="A116" s="4" t="s">
        <v>77</v>
      </c>
      <c r="B116" s="4" t="s">
        <v>33</v>
      </c>
      <c r="C116" s="4" t="s">
        <v>36</v>
      </c>
      <c r="D116" s="4" t="s">
        <v>17</v>
      </c>
      <c r="E116" s="4">
        <v>826.97</v>
      </c>
      <c r="F116" s="4">
        <v>18</v>
      </c>
      <c r="G116" s="4">
        <v>0.2</v>
      </c>
      <c r="H116" s="5">
        <v>45715</v>
      </c>
      <c r="I116" s="4">
        <v>330.79</v>
      </c>
      <c r="J116" s="13">
        <f t="shared" ca="1" si="7"/>
        <v>46146.906177777775</v>
      </c>
    </row>
    <row r="117" spans="1:10" ht="15.75" customHeight="1" x14ac:dyDescent="0.3">
      <c r="A117" s="4" t="s">
        <v>77</v>
      </c>
      <c r="B117" s="4" t="s">
        <v>73</v>
      </c>
      <c r="C117" s="4" t="s">
        <v>36</v>
      </c>
      <c r="D117" s="4" t="s">
        <v>17</v>
      </c>
      <c r="E117" s="4">
        <v>1456.94</v>
      </c>
      <c r="F117" s="4">
        <v>14</v>
      </c>
      <c r="G117" s="4">
        <v>0.05</v>
      </c>
      <c r="H117" s="5">
        <v>45745</v>
      </c>
      <c r="I117" s="4">
        <v>692.05</v>
      </c>
      <c r="J117" s="13">
        <f t="shared" ca="1" si="7"/>
        <v>46146.906177777775</v>
      </c>
    </row>
    <row r="118" spans="1:10" ht="15.75" customHeight="1" x14ac:dyDescent="0.3">
      <c r="A118" s="4" t="s">
        <v>11</v>
      </c>
      <c r="B118" s="4" t="s">
        <v>12</v>
      </c>
      <c r="C118" s="4" t="s">
        <v>13</v>
      </c>
      <c r="D118" s="4" t="s">
        <v>14</v>
      </c>
      <c r="E118" s="4">
        <v>1036.0899999999999</v>
      </c>
      <c r="F118" s="4">
        <v>4</v>
      </c>
      <c r="G118" s="4">
        <v>0.2</v>
      </c>
      <c r="H118" s="5">
        <v>45392</v>
      </c>
      <c r="I118" s="4">
        <v>331.55</v>
      </c>
      <c r="J118" s="13">
        <f t="shared" ca="1" si="7"/>
        <v>46146.906177777775</v>
      </c>
    </row>
    <row r="119" spans="1:10" ht="15.75" customHeight="1" x14ac:dyDescent="0.3">
      <c r="A119" s="4" t="s">
        <v>11</v>
      </c>
      <c r="B119" s="4" t="s">
        <v>33</v>
      </c>
      <c r="C119" s="4" t="s">
        <v>13</v>
      </c>
      <c r="D119" s="4" t="s">
        <v>14</v>
      </c>
      <c r="E119" s="4">
        <v>743.17</v>
      </c>
      <c r="F119" s="4">
        <v>9</v>
      </c>
      <c r="G119" s="4">
        <v>0</v>
      </c>
      <c r="H119" s="5">
        <v>45416</v>
      </c>
      <c r="I119" s="4">
        <v>297.27</v>
      </c>
      <c r="J119" s="13">
        <f t="shared" ca="1" si="7"/>
        <v>46146.906177777775</v>
      </c>
    </row>
    <row r="120" spans="1:10" ht="15.75" customHeight="1" x14ac:dyDescent="0.3">
      <c r="A120" s="4" t="s">
        <v>11</v>
      </c>
      <c r="B120" s="4" t="s">
        <v>57</v>
      </c>
      <c r="C120" s="4" t="s">
        <v>20</v>
      </c>
      <c r="D120" s="4" t="s">
        <v>41</v>
      </c>
      <c r="E120" s="4">
        <v>840.92</v>
      </c>
      <c r="F120" s="4">
        <v>9</v>
      </c>
      <c r="G120" s="4">
        <v>0.05</v>
      </c>
      <c r="H120" s="5">
        <v>45429</v>
      </c>
      <c r="I120" s="4">
        <v>359.49</v>
      </c>
      <c r="J120" s="13">
        <f t="shared" ca="1" si="7"/>
        <v>46146.906177777775</v>
      </c>
    </row>
    <row r="121" spans="1:10" ht="15.75" customHeight="1" x14ac:dyDescent="0.3">
      <c r="A121" s="4" t="s">
        <v>11</v>
      </c>
      <c r="B121" s="4" t="s">
        <v>35</v>
      </c>
      <c r="C121" s="4" t="s">
        <v>36</v>
      </c>
      <c r="D121" s="4" t="s">
        <v>17</v>
      </c>
      <c r="E121" s="4">
        <v>1301.8900000000001</v>
      </c>
      <c r="F121" s="4">
        <v>7</v>
      </c>
      <c r="G121" s="4">
        <v>0.15</v>
      </c>
      <c r="H121" s="5">
        <v>45581</v>
      </c>
      <c r="I121" s="4">
        <v>553.29999999999995</v>
      </c>
      <c r="J121" s="13">
        <f t="shared" ca="1" si="7"/>
        <v>46146.906177777775</v>
      </c>
    </row>
    <row r="122" spans="1:10" ht="15.75" customHeight="1" x14ac:dyDescent="0.3">
      <c r="A122" s="4" t="s">
        <v>11</v>
      </c>
      <c r="B122" s="4" t="s">
        <v>19</v>
      </c>
      <c r="C122" s="4" t="s">
        <v>22</v>
      </c>
      <c r="D122" s="4" t="s">
        <v>23</v>
      </c>
      <c r="E122" s="4">
        <v>718.04</v>
      </c>
      <c r="F122" s="4">
        <v>14</v>
      </c>
      <c r="G122" s="4">
        <v>0</v>
      </c>
      <c r="H122" s="5">
        <v>45613</v>
      </c>
      <c r="I122" s="4">
        <v>179.51</v>
      </c>
      <c r="J122" s="13">
        <f t="shared" ca="1" si="7"/>
        <v>46146.906177777775</v>
      </c>
    </row>
    <row r="123" spans="1:10" ht="15.75" customHeight="1" x14ac:dyDescent="0.3">
      <c r="A123" s="4" t="s">
        <v>70</v>
      </c>
      <c r="B123" s="4" t="s">
        <v>57</v>
      </c>
      <c r="C123" s="4" t="s">
        <v>13</v>
      </c>
      <c r="D123" s="4" t="s">
        <v>29</v>
      </c>
      <c r="E123" s="4">
        <v>1371.34</v>
      </c>
      <c r="F123" s="4">
        <v>5</v>
      </c>
      <c r="G123" s="4">
        <v>0.05</v>
      </c>
      <c r="H123" s="5">
        <v>45488</v>
      </c>
      <c r="I123" s="4">
        <v>455.97</v>
      </c>
      <c r="J123" s="13">
        <f t="shared" ca="1" si="7"/>
        <v>46146.906177777775</v>
      </c>
    </row>
    <row r="124" spans="1:10" ht="15.75" customHeight="1" x14ac:dyDescent="0.3">
      <c r="A124" s="4" t="s">
        <v>70</v>
      </c>
      <c r="B124" s="4" t="s">
        <v>71</v>
      </c>
      <c r="C124" s="4" t="s">
        <v>22</v>
      </c>
      <c r="D124" s="4" t="s">
        <v>41</v>
      </c>
      <c r="E124" s="4">
        <v>981.2</v>
      </c>
      <c r="F124" s="4">
        <v>19</v>
      </c>
      <c r="G124" s="4">
        <v>0</v>
      </c>
      <c r="H124" s="5">
        <v>45504</v>
      </c>
      <c r="I124" s="4">
        <v>441.54</v>
      </c>
      <c r="J124" s="13">
        <f t="shared" ca="1" si="7"/>
        <v>46146.906177777775</v>
      </c>
    </row>
    <row r="125" spans="1:10" ht="15.75" customHeight="1" x14ac:dyDescent="0.3">
      <c r="A125" s="4" t="s">
        <v>70</v>
      </c>
      <c r="B125" s="4" t="s">
        <v>35</v>
      </c>
      <c r="C125" s="4" t="s">
        <v>20</v>
      </c>
      <c r="D125" s="4" t="s">
        <v>29</v>
      </c>
      <c r="E125" s="4">
        <v>1143.69</v>
      </c>
      <c r="F125" s="4">
        <v>17</v>
      </c>
      <c r="G125" s="4">
        <v>0</v>
      </c>
      <c r="H125" s="5">
        <v>45534</v>
      </c>
      <c r="I125" s="4">
        <v>400.29</v>
      </c>
      <c r="J125" s="13">
        <f t="shared" ca="1" si="7"/>
        <v>46146.906177777775</v>
      </c>
    </row>
    <row r="126" spans="1:10" ht="15.75" customHeight="1" x14ac:dyDescent="0.3">
      <c r="A126" s="4" t="s">
        <v>70</v>
      </c>
      <c r="B126" s="4" t="s">
        <v>19</v>
      </c>
      <c r="C126" s="4" t="s">
        <v>22</v>
      </c>
      <c r="D126" s="4" t="s">
        <v>14</v>
      </c>
      <c r="E126" s="4">
        <v>917.48</v>
      </c>
      <c r="F126" s="4">
        <v>6</v>
      </c>
      <c r="G126" s="4">
        <v>0</v>
      </c>
      <c r="H126" s="5">
        <v>45558</v>
      </c>
      <c r="I126" s="4">
        <v>366.99</v>
      </c>
      <c r="J126" s="13">
        <f t="shared" ca="1" si="7"/>
        <v>46146.906177777775</v>
      </c>
    </row>
    <row r="127" spans="1:10" ht="15.75" customHeight="1" x14ac:dyDescent="0.3">
      <c r="A127" s="4" t="s">
        <v>59</v>
      </c>
      <c r="B127" s="4" t="s">
        <v>45</v>
      </c>
      <c r="C127" s="4" t="s">
        <v>22</v>
      </c>
      <c r="D127" s="4" t="s">
        <v>23</v>
      </c>
      <c r="E127" s="4">
        <v>967.89</v>
      </c>
      <c r="F127" s="4">
        <v>10</v>
      </c>
      <c r="G127" s="4">
        <v>0.1</v>
      </c>
      <c r="H127" s="5">
        <v>45429</v>
      </c>
      <c r="I127" s="4">
        <v>217.78</v>
      </c>
      <c r="J127" s="13">
        <f t="shared" ca="1" si="7"/>
        <v>46146.906177777775</v>
      </c>
    </row>
    <row r="128" spans="1:10" ht="15.75" customHeight="1" x14ac:dyDescent="0.3">
      <c r="A128" s="4" t="s">
        <v>59</v>
      </c>
      <c r="B128" s="4" t="s">
        <v>25</v>
      </c>
      <c r="C128" s="4" t="s">
        <v>36</v>
      </c>
      <c r="D128" s="4" t="s">
        <v>14</v>
      </c>
      <c r="E128" s="4">
        <v>840.85</v>
      </c>
      <c r="F128" s="4">
        <v>19</v>
      </c>
      <c r="G128" s="4">
        <v>0.1</v>
      </c>
      <c r="H128" s="5">
        <v>45448</v>
      </c>
      <c r="I128" s="4">
        <v>302.70999999999998</v>
      </c>
      <c r="J128" s="13">
        <f t="shared" ca="1" si="7"/>
        <v>46146.906177777775</v>
      </c>
    </row>
    <row r="129" spans="1:10" ht="15.75" customHeight="1" x14ac:dyDescent="0.3">
      <c r="A129" s="4" t="s">
        <v>59</v>
      </c>
      <c r="B129" s="4" t="s">
        <v>28</v>
      </c>
      <c r="C129" s="4" t="s">
        <v>20</v>
      </c>
      <c r="D129" s="4" t="s">
        <v>29</v>
      </c>
      <c r="E129" s="4">
        <v>1186.8499999999999</v>
      </c>
      <c r="F129" s="4">
        <v>19</v>
      </c>
      <c r="G129" s="4">
        <v>0.2</v>
      </c>
      <c r="H129" s="5">
        <v>45451</v>
      </c>
      <c r="I129" s="4">
        <v>332.32</v>
      </c>
      <c r="J129" s="13">
        <f t="shared" ca="1" si="7"/>
        <v>46146.906177777775</v>
      </c>
    </row>
    <row r="130" spans="1:10" ht="15.75" customHeight="1" x14ac:dyDescent="0.3">
      <c r="A130" s="4" t="s">
        <v>59</v>
      </c>
      <c r="B130" s="4" t="s">
        <v>33</v>
      </c>
      <c r="C130" s="4" t="s">
        <v>20</v>
      </c>
      <c r="D130" s="4" t="s">
        <v>14</v>
      </c>
      <c r="E130" s="4">
        <v>1383.3</v>
      </c>
      <c r="F130" s="4">
        <v>8</v>
      </c>
      <c r="G130" s="4">
        <v>0.1</v>
      </c>
      <c r="H130" s="5">
        <v>45478</v>
      </c>
      <c r="I130" s="4">
        <v>497.99</v>
      </c>
      <c r="J130" s="13">
        <f t="shared" ref="J130:J161" ca="1" si="8">NOW()</f>
        <v>46146.906177777775</v>
      </c>
    </row>
    <row r="131" spans="1:10" ht="15.75" customHeight="1" x14ac:dyDescent="0.3">
      <c r="A131" s="4" t="s">
        <v>59</v>
      </c>
      <c r="B131" s="4" t="s">
        <v>49</v>
      </c>
      <c r="C131" s="4" t="s">
        <v>26</v>
      </c>
      <c r="D131" s="4" t="s">
        <v>23</v>
      </c>
      <c r="E131" s="4">
        <v>1020.26</v>
      </c>
      <c r="F131" s="4">
        <v>11</v>
      </c>
      <c r="G131" s="4">
        <v>0.05</v>
      </c>
      <c r="H131" s="5">
        <v>45494</v>
      </c>
      <c r="I131" s="4">
        <v>242.31</v>
      </c>
      <c r="J131" s="13">
        <f t="shared" ca="1" si="8"/>
        <v>46146.906177777775</v>
      </c>
    </row>
    <row r="132" spans="1:10" ht="15.75" customHeight="1" x14ac:dyDescent="0.3">
      <c r="A132" s="4" t="s">
        <v>59</v>
      </c>
      <c r="B132" s="4" t="s">
        <v>25</v>
      </c>
      <c r="C132" s="4" t="s">
        <v>26</v>
      </c>
      <c r="D132" s="4" t="s">
        <v>17</v>
      </c>
      <c r="E132" s="4">
        <v>1205.82</v>
      </c>
      <c r="F132" s="4">
        <v>11</v>
      </c>
      <c r="G132" s="4">
        <v>0.1</v>
      </c>
      <c r="H132" s="5">
        <v>45559</v>
      </c>
      <c r="I132" s="4">
        <v>542.62</v>
      </c>
      <c r="J132" s="13">
        <f t="shared" ca="1" si="8"/>
        <v>46146.906177777775</v>
      </c>
    </row>
    <row r="133" spans="1:10" ht="15.75" customHeight="1" x14ac:dyDescent="0.3">
      <c r="A133" s="4" t="s">
        <v>59</v>
      </c>
      <c r="B133" s="4" t="s">
        <v>40</v>
      </c>
      <c r="C133" s="4" t="s">
        <v>36</v>
      </c>
      <c r="D133" s="4" t="s">
        <v>14</v>
      </c>
      <c r="E133" s="4">
        <v>1150.28</v>
      </c>
      <c r="F133" s="4">
        <v>8</v>
      </c>
      <c r="G133" s="4">
        <v>0.05</v>
      </c>
      <c r="H133" s="5">
        <v>45622</v>
      </c>
      <c r="I133" s="4">
        <v>437.11</v>
      </c>
      <c r="J133" s="13">
        <f t="shared" ca="1" si="8"/>
        <v>46146.906177777775</v>
      </c>
    </row>
    <row r="134" spans="1:10" ht="15.75" customHeight="1" x14ac:dyDescent="0.3">
      <c r="A134" s="4" t="s">
        <v>59</v>
      </c>
      <c r="B134" s="4" t="s">
        <v>57</v>
      </c>
      <c r="C134" s="4" t="s">
        <v>13</v>
      </c>
      <c r="D134" s="4" t="s">
        <v>29</v>
      </c>
      <c r="E134" s="4">
        <v>984.93</v>
      </c>
      <c r="F134" s="4">
        <v>14</v>
      </c>
      <c r="G134" s="4">
        <v>0.2</v>
      </c>
      <c r="H134" s="5">
        <v>45733</v>
      </c>
      <c r="I134" s="4">
        <v>275.77999999999997</v>
      </c>
      <c r="J134" s="13">
        <f t="shared" ca="1" si="8"/>
        <v>46146.906177777775</v>
      </c>
    </row>
    <row r="135" spans="1:10" ht="15.75" customHeight="1" x14ac:dyDescent="0.3">
      <c r="A135" s="4" t="s">
        <v>51</v>
      </c>
      <c r="B135" s="4" t="s">
        <v>16</v>
      </c>
      <c r="C135" s="4" t="s">
        <v>26</v>
      </c>
      <c r="D135" s="4" t="s">
        <v>23</v>
      </c>
      <c r="E135" s="4">
        <v>388.56</v>
      </c>
      <c r="F135" s="4">
        <v>14</v>
      </c>
      <c r="G135" s="4">
        <v>0.15</v>
      </c>
      <c r="H135" s="5">
        <v>45416</v>
      </c>
      <c r="I135" s="4">
        <v>82.57</v>
      </c>
      <c r="J135" s="13">
        <f t="shared" ca="1" si="8"/>
        <v>46146.906177777775</v>
      </c>
    </row>
    <row r="136" spans="1:10" ht="15.75" customHeight="1" x14ac:dyDescent="0.3">
      <c r="A136" s="4" t="s">
        <v>51</v>
      </c>
      <c r="B136" s="4" t="s">
        <v>58</v>
      </c>
      <c r="C136" s="4" t="s">
        <v>36</v>
      </c>
      <c r="D136" s="4" t="s">
        <v>14</v>
      </c>
      <c r="E136" s="4">
        <v>1023.21</v>
      </c>
      <c r="F136" s="4">
        <v>18</v>
      </c>
      <c r="G136" s="4">
        <v>0.05</v>
      </c>
      <c r="H136" s="5">
        <v>45428</v>
      </c>
      <c r="I136" s="4">
        <v>388.82</v>
      </c>
      <c r="J136" s="13">
        <f t="shared" ca="1" si="8"/>
        <v>46146.906177777775</v>
      </c>
    </row>
    <row r="137" spans="1:10" ht="15.75" customHeight="1" x14ac:dyDescent="0.3">
      <c r="A137" s="4" t="s">
        <v>51</v>
      </c>
      <c r="B137" s="4" t="s">
        <v>52</v>
      </c>
      <c r="C137" s="4" t="s">
        <v>22</v>
      </c>
      <c r="D137" s="4" t="s">
        <v>14</v>
      </c>
      <c r="E137" s="4">
        <v>1264.49</v>
      </c>
      <c r="F137" s="4">
        <v>16</v>
      </c>
      <c r="G137" s="4">
        <v>0.05</v>
      </c>
      <c r="H137" s="5">
        <v>45549</v>
      </c>
      <c r="I137" s="4">
        <v>480.51</v>
      </c>
      <c r="J137" s="13">
        <f t="shared" ca="1" si="8"/>
        <v>46146.906177777775</v>
      </c>
    </row>
    <row r="138" spans="1:10" ht="15.75" customHeight="1" x14ac:dyDescent="0.3">
      <c r="A138" s="4" t="s">
        <v>51</v>
      </c>
      <c r="B138" s="4" t="s">
        <v>47</v>
      </c>
      <c r="C138" s="4" t="s">
        <v>36</v>
      </c>
      <c r="D138" s="4" t="s">
        <v>41</v>
      </c>
      <c r="E138" s="4">
        <v>388.23</v>
      </c>
      <c r="F138" s="4">
        <v>16</v>
      </c>
      <c r="G138" s="4">
        <v>0.05</v>
      </c>
      <c r="H138" s="5">
        <v>45650</v>
      </c>
      <c r="I138" s="4">
        <v>165.97</v>
      </c>
      <c r="J138" s="13">
        <f t="shared" ca="1" si="8"/>
        <v>46146.906177777775</v>
      </c>
    </row>
    <row r="139" spans="1:10" ht="15.75" customHeight="1" x14ac:dyDescent="0.3">
      <c r="A139" s="4" t="s">
        <v>51</v>
      </c>
      <c r="B139" s="4" t="s">
        <v>25</v>
      </c>
      <c r="C139" s="4" t="s">
        <v>13</v>
      </c>
      <c r="D139" s="4" t="s">
        <v>14</v>
      </c>
      <c r="E139" s="4">
        <v>1353.79</v>
      </c>
      <c r="F139" s="4">
        <v>14</v>
      </c>
      <c r="G139" s="4">
        <v>0.1</v>
      </c>
      <c r="H139" s="5">
        <v>45656</v>
      </c>
      <c r="I139" s="4">
        <v>487.36</v>
      </c>
      <c r="J139" s="13">
        <f t="shared" ca="1" si="8"/>
        <v>46146.906177777775</v>
      </c>
    </row>
    <row r="140" spans="1:10" ht="15.75" customHeight="1" x14ac:dyDescent="0.3">
      <c r="A140" s="4" t="s">
        <v>42</v>
      </c>
      <c r="B140" s="4" t="s">
        <v>16</v>
      </c>
      <c r="C140" s="4" t="s">
        <v>13</v>
      </c>
      <c r="D140" s="4" t="s">
        <v>29</v>
      </c>
      <c r="E140" s="4">
        <v>822.28</v>
      </c>
      <c r="F140" s="4">
        <v>7</v>
      </c>
      <c r="G140" s="4">
        <v>0.05</v>
      </c>
      <c r="H140" s="5">
        <v>45406</v>
      </c>
      <c r="I140" s="4">
        <v>273.41000000000003</v>
      </c>
      <c r="J140" s="13">
        <f t="shared" ca="1" si="8"/>
        <v>46146.906177777775</v>
      </c>
    </row>
    <row r="141" spans="1:10" ht="15.75" customHeight="1" x14ac:dyDescent="0.3">
      <c r="A141" s="4" t="s">
        <v>42</v>
      </c>
      <c r="B141" s="4" t="s">
        <v>33</v>
      </c>
      <c r="C141" s="4" t="s">
        <v>36</v>
      </c>
      <c r="D141" s="4" t="s">
        <v>23</v>
      </c>
      <c r="E141" s="4">
        <v>706.37</v>
      </c>
      <c r="F141" s="4">
        <v>6</v>
      </c>
      <c r="G141" s="4">
        <v>0</v>
      </c>
      <c r="H141" s="5">
        <v>45416</v>
      </c>
      <c r="I141" s="4">
        <v>176.59</v>
      </c>
      <c r="J141" s="13">
        <f t="shared" ca="1" si="8"/>
        <v>46146.906177777775</v>
      </c>
    </row>
    <row r="142" spans="1:10" ht="15.75" customHeight="1" x14ac:dyDescent="0.3">
      <c r="A142" s="4" t="s">
        <v>42</v>
      </c>
      <c r="B142" s="4" t="s">
        <v>58</v>
      </c>
      <c r="C142" s="4" t="s">
        <v>20</v>
      </c>
      <c r="D142" s="4" t="s">
        <v>41</v>
      </c>
      <c r="E142" s="4">
        <v>556.41999999999996</v>
      </c>
      <c r="F142" s="4">
        <v>11</v>
      </c>
      <c r="G142" s="4">
        <v>0.15</v>
      </c>
      <c r="H142" s="5">
        <v>45447</v>
      </c>
      <c r="I142" s="4">
        <v>212.83</v>
      </c>
      <c r="J142" s="13">
        <f t="shared" ca="1" si="8"/>
        <v>46146.906177777775</v>
      </c>
    </row>
    <row r="143" spans="1:10" ht="15.75" customHeight="1" x14ac:dyDescent="0.3">
      <c r="A143" s="4" t="s">
        <v>42</v>
      </c>
      <c r="B143" s="4" t="s">
        <v>57</v>
      </c>
      <c r="C143" s="4" t="s">
        <v>20</v>
      </c>
      <c r="D143" s="4" t="s">
        <v>29</v>
      </c>
      <c r="E143" s="4">
        <v>873.7</v>
      </c>
      <c r="F143" s="4">
        <v>9</v>
      </c>
      <c r="G143" s="4">
        <v>0</v>
      </c>
      <c r="H143" s="5">
        <v>45546</v>
      </c>
      <c r="I143" s="4">
        <v>305.8</v>
      </c>
      <c r="J143" s="13">
        <f t="shared" ca="1" si="8"/>
        <v>46146.906177777775</v>
      </c>
    </row>
    <row r="144" spans="1:10" ht="15.75" customHeight="1" x14ac:dyDescent="0.3">
      <c r="A144" s="4" t="s">
        <v>42</v>
      </c>
      <c r="B144" s="4" t="s">
        <v>25</v>
      </c>
      <c r="C144" s="4" t="s">
        <v>20</v>
      </c>
      <c r="D144" s="4" t="s">
        <v>41</v>
      </c>
      <c r="E144" s="4">
        <v>1154.33</v>
      </c>
      <c r="F144" s="4">
        <v>11</v>
      </c>
      <c r="G144" s="4">
        <v>0.15</v>
      </c>
      <c r="H144" s="5">
        <v>45549</v>
      </c>
      <c r="I144" s="4">
        <v>441.53</v>
      </c>
      <c r="J144" s="13">
        <f t="shared" ca="1" si="8"/>
        <v>46146.906177777775</v>
      </c>
    </row>
    <row r="145" spans="1:10" ht="15.75" customHeight="1" x14ac:dyDescent="0.3">
      <c r="A145" s="4" t="s">
        <v>42</v>
      </c>
      <c r="B145" s="4" t="s">
        <v>19</v>
      </c>
      <c r="C145" s="4" t="s">
        <v>22</v>
      </c>
      <c r="D145" s="4" t="s">
        <v>17</v>
      </c>
      <c r="E145" s="4">
        <v>1118.3399999999999</v>
      </c>
      <c r="F145" s="4">
        <v>6</v>
      </c>
      <c r="G145" s="4">
        <v>0.2</v>
      </c>
      <c r="H145" s="5">
        <v>45674</v>
      </c>
      <c r="I145" s="4">
        <v>447.34</v>
      </c>
      <c r="J145" s="13">
        <f t="shared" ca="1" si="8"/>
        <v>46146.906177777775</v>
      </c>
    </row>
    <row r="146" spans="1:10" ht="15.75" customHeight="1" x14ac:dyDescent="0.3">
      <c r="A146" s="4" t="s">
        <v>42</v>
      </c>
      <c r="B146" s="4" t="s">
        <v>61</v>
      </c>
      <c r="C146" s="4" t="s">
        <v>22</v>
      </c>
      <c r="D146" s="4" t="s">
        <v>17</v>
      </c>
      <c r="E146" s="4">
        <v>682.24</v>
      </c>
      <c r="F146" s="4">
        <v>1</v>
      </c>
      <c r="G146" s="4">
        <v>0</v>
      </c>
      <c r="H146" s="5">
        <v>45738</v>
      </c>
      <c r="I146" s="4">
        <v>341.12</v>
      </c>
      <c r="J146" s="13">
        <f t="shared" ca="1" si="8"/>
        <v>46146.906177777775</v>
      </c>
    </row>
    <row r="147" spans="1:10" ht="15.75" customHeight="1" x14ac:dyDescent="0.3">
      <c r="A147" s="4" t="s">
        <v>72</v>
      </c>
      <c r="B147" s="4" t="s">
        <v>57</v>
      </c>
      <c r="C147" s="4" t="s">
        <v>20</v>
      </c>
      <c r="D147" s="4" t="s">
        <v>23</v>
      </c>
      <c r="E147" s="4">
        <v>539.77</v>
      </c>
      <c r="F147" s="4">
        <v>10</v>
      </c>
      <c r="G147" s="4">
        <v>0.15</v>
      </c>
      <c r="H147" s="5">
        <v>45509</v>
      </c>
      <c r="I147" s="4">
        <v>114.7</v>
      </c>
      <c r="J147" s="13">
        <f t="shared" ca="1" si="8"/>
        <v>46146.906177777775</v>
      </c>
    </row>
    <row r="148" spans="1:10" ht="15.75" customHeight="1" x14ac:dyDescent="0.3">
      <c r="A148" s="4" t="s">
        <v>72</v>
      </c>
      <c r="B148" s="4" t="s">
        <v>40</v>
      </c>
      <c r="C148" s="4" t="s">
        <v>13</v>
      </c>
      <c r="D148" s="4" t="s">
        <v>23</v>
      </c>
      <c r="E148" s="4">
        <v>1526.6</v>
      </c>
      <c r="F148" s="4">
        <v>13</v>
      </c>
      <c r="G148" s="4">
        <v>0.2</v>
      </c>
      <c r="H148" s="5">
        <v>45512</v>
      </c>
      <c r="I148" s="4">
        <v>305.32</v>
      </c>
      <c r="J148" s="13">
        <f t="shared" ca="1" si="8"/>
        <v>46146.906177777775</v>
      </c>
    </row>
    <row r="149" spans="1:10" ht="15.75" customHeight="1" x14ac:dyDescent="0.3">
      <c r="A149" s="4" t="s">
        <v>72</v>
      </c>
      <c r="B149" s="4" t="s">
        <v>68</v>
      </c>
      <c r="C149" s="4" t="s">
        <v>20</v>
      </c>
      <c r="D149" s="4" t="s">
        <v>14</v>
      </c>
      <c r="E149" s="4">
        <v>980.18</v>
      </c>
      <c r="F149" s="4">
        <v>16</v>
      </c>
      <c r="G149" s="4">
        <v>0.1</v>
      </c>
      <c r="H149" s="5">
        <v>45582</v>
      </c>
      <c r="I149" s="4">
        <v>352.86</v>
      </c>
      <c r="J149" s="13">
        <f t="shared" ca="1" si="8"/>
        <v>46146.906177777775</v>
      </c>
    </row>
    <row r="150" spans="1:10" ht="15.75" customHeight="1" x14ac:dyDescent="0.3">
      <c r="A150" s="4" t="s">
        <v>72</v>
      </c>
      <c r="B150" s="4" t="s">
        <v>25</v>
      </c>
      <c r="C150" s="4" t="s">
        <v>26</v>
      </c>
      <c r="D150" s="4" t="s">
        <v>23</v>
      </c>
      <c r="E150" s="4">
        <v>706.73</v>
      </c>
      <c r="F150" s="4">
        <v>1</v>
      </c>
      <c r="G150" s="4">
        <v>0.15</v>
      </c>
      <c r="H150" s="5">
        <v>45613</v>
      </c>
      <c r="I150" s="4">
        <v>150.18</v>
      </c>
      <c r="J150" s="13">
        <f t="shared" ca="1" si="8"/>
        <v>46146.906177777775</v>
      </c>
    </row>
    <row r="151" spans="1:10" ht="15.75" customHeight="1" x14ac:dyDescent="0.3">
      <c r="A151" s="4" t="s">
        <v>72</v>
      </c>
      <c r="B151" s="4" t="s">
        <v>55</v>
      </c>
      <c r="C151" s="4" t="s">
        <v>26</v>
      </c>
      <c r="D151" s="4" t="s">
        <v>17</v>
      </c>
      <c r="E151" s="4">
        <v>1622.62</v>
      </c>
      <c r="F151" s="4">
        <v>12</v>
      </c>
      <c r="G151" s="4">
        <v>0.2</v>
      </c>
      <c r="H151" s="5">
        <v>45677</v>
      </c>
      <c r="I151" s="4">
        <v>649.04999999999995</v>
      </c>
      <c r="J151" s="13">
        <f t="shared" ca="1" si="8"/>
        <v>46146.906177777775</v>
      </c>
    </row>
    <row r="152" spans="1:10" ht="15.75" customHeight="1" x14ac:dyDescent="0.3">
      <c r="A152" s="4" t="s">
        <v>72</v>
      </c>
      <c r="B152" s="4" t="s">
        <v>31</v>
      </c>
      <c r="C152" s="4" t="s">
        <v>36</v>
      </c>
      <c r="D152" s="4" t="s">
        <v>17</v>
      </c>
      <c r="E152" s="4">
        <v>741.88</v>
      </c>
      <c r="F152" s="4">
        <v>16</v>
      </c>
      <c r="G152" s="4">
        <v>0.1</v>
      </c>
      <c r="H152" s="5">
        <v>45695</v>
      </c>
      <c r="I152" s="4">
        <v>333.85</v>
      </c>
      <c r="J152" s="13">
        <f t="shared" ca="1" si="8"/>
        <v>46146.906177777775</v>
      </c>
    </row>
    <row r="153" spans="1:10" ht="15.75" customHeight="1" x14ac:dyDescent="0.3">
      <c r="A153" s="4" t="s">
        <v>72</v>
      </c>
      <c r="B153" s="4" t="s">
        <v>38</v>
      </c>
      <c r="C153" s="4" t="s">
        <v>36</v>
      </c>
      <c r="D153" s="4" t="s">
        <v>17</v>
      </c>
      <c r="E153" s="4">
        <v>1465.35</v>
      </c>
      <c r="F153" s="4">
        <v>8</v>
      </c>
      <c r="G153" s="4">
        <v>0.2</v>
      </c>
      <c r="H153" s="5">
        <v>45746</v>
      </c>
      <c r="I153" s="4">
        <v>586.14</v>
      </c>
      <c r="J153" s="13">
        <f t="shared" ca="1" si="8"/>
        <v>46146.906177777775</v>
      </c>
    </row>
    <row r="154" spans="1:10" ht="15.75" customHeight="1" x14ac:dyDescent="0.3">
      <c r="A154" s="4" t="s">
        <v>56</v>
      </c>
      <c r="B154" s="4" t="s">
        <v>57</v>
      </c>
      <c r="C154" s="4" t="s">
        <v>26</v>
      </c>
      <c r="D154" s="4" t="s">
        <v>23</v>
      </c>
      <c r="E154" s="4">
        <v>1450.71</v>
      </c>
      <c r="F154" s="4">
        <v>5</v>
      </c>
      <c r="G154" s="4">
        <v>0.1</v>
      </c>
      <c r="H154" s="5">
        <v>45427</v>
      </c>
      <c r="I154" s="4">
        <v>326.41000000000003</v>
      </c>
      <c r="J154" s="13">
        <f t="shared" ca="1" si="8"/>
        <v>46146.906177777775</v>
      </c>
    </row>
    <row r="155" spans="1:10" ht="15.75" customHeight="1" x14ac:dyDescent="0.3">
      <c r="A155" s="4" t="s">
        <v>56</v>
      </c>
      <c r="B155" s="4" t="s">
        <v>58</v>
      </c>
      <c r="C155" s="4" t="s">
        <v>36</v>
      </c>
      <c r="D155" s="4" t="s">
        <v>41</v>
      </c>
      <c r="E155" s="4">
        <v>1225.42</v>
      </c>
      <c r="F155" s="4">
        <v>8</v>
      </c>
      <c r="G155" s="4">
        <v>0.15</v>
      </c>
      <c r="H155" s="5">
        <v>45449</v>
      </c>
      <c r="I155" s="4">
        <v>468.72</v>
      </c>
      <c r="J155" s="13">
        <f t="shared" ca="1" si="8"/>
        <v>46146.906177777775</v>
      </c>
    </row>
    <row r="156" spans="1:10" ht="15.75" customHeight="1" x14ac:dyDescent="0.3">
      <c r="A156" s="4" t="s">
        <v>56</v>
      </c>
      <c r="B156" s="4" t="s">
        <v>49</v>
      </c>
      <c r="C156" s="4" t="s">
        <v>20</v>
      </c>
      <c r="D156" s="4" t="s">
        <v>29</v>
      </c>
      <c r="E156" s="4">
        <v>1286.54</v>
      </c>
      <c r="F156" s="4">
        <v>8</v>
      </c>
      <c r="G156" s="4">
        <v>0</v>
      </c>
      <c r="H156" s="5">
        <v>45575</v>
      </c>
      <c r="I156" s="4">
        <v>450.29</v>
      </c>
      <c r="J156" s="13">
        <f t="shared" ca="1" si="8"/>
        <v>46146.906177777775</v>
      </c>
    </row>
    <row r="157" spans="1:10" ht="15.75" customHeight="1" x14ac:dyDescent="0.3">
      <c r="A157" s="4" t="s">
        <v>56</v>
      </c>
      <c r="B157" s="4" t="s">
        <v>68</v>
      </c>
      <c r="C157" s="4" t="s">
        <v>36</v>
      </c>
      <c r="D157" s="4" t="s">
        <v>17</v>
      </c>
      <c r="E157" s="4">
        <v>728.71</v>
      </c>
      <c r="F157" s="4">
        <v>14</v>
      </c>
      <c r="G157" s="4">
        <v>0.1</v>
      </c>
      <c r="H157" s="5">
        <v>45581</v>
      </c>
      <c r="I157" s="4">
        <v>327.92</v>
      </c>
      <c r="J157" s="13">
        <f t="shared" ca="1" si="8"/>
        <v>46146.906177777775</v>
      </c>
    </row>
    <row r="158" spans="1:10" ht="15.75" customHeight="1" x14ac:dyDescent="0.3">
      <c r="A158" s="4" t="s">
        <v>56</v>
      </c>
      <c r="B158" s="4" t="s">
        <v>50</v>
      </c>
      <c r="C158" s="4" t="s">
        <v>20</v>
      </c>
      <c r="D158" s="4" t="s">
        <v>14</v>
      </c>
      <c r="E158" s="4">
        <v>1010.58</v>
      </c>
      <c r="F158" s="4">
        <v>2</v>
      </c>
      <c r="G158" s="4">
        <v>0.15</v>
      </c>
      <c r="H158" s="5">
        <v>45605</v>
      </c>
      <c r="I158" s="4">
        <v>343.6</v>
      </c>
      <c r="J158" s="13">
        <f t="shared" ca="1" si="8"/>
        <v>46146.906177777775</v>
      </c>
    </row>
    <row r="159" spans="1:10" ht="15.75" customHeight="1" x14ac:dyDescent="0.3">
      <c r="A159" s="4" t="s">
        <v>56</v>
      </c>
      <c r="B159" s="4" t="s">
        <v>47</v>
      </c>
      <c r="C159" s="4" t="s">
        <v>20</v>
      </c>
      <c r="D159" s="4" t="s">
        <v>41</v>
      </c>
      <c r="E159" s="4">
        <v>1014.56</v>
      </c>
      <c r="F159" s="4">
        <v>10</v>
      </c>
      <c r="G159" s="4">
        <v>0.1</v>
      </c>
      <c r="H159" s="5">
        <v>45612</v>
      </c>
      <c r="I159" s="4">
        <v>410.9</v>
      </c>
      <c r="J159" s="13">
        <f t="shared" ca="1" si="8"/>
        <v>46146.906177777775</v>
      </c>
    </row>
    <row r="160" spans="1:10" ht="15.75" customHeight="1" x14ac:dyDescent="0.3">
      <c r="A160" s="4" t="s">
        <v>32</v>
      </c>
      <c r="B160" s="4" t="s">
        <v>33</v>
      </c>
      <c r="C160" s="4" t="s">
        <v>20</v>
      </c>
      <c r="D160" s="4" t="s">
        <v>29</v>
      </c>
      <c r="E160" s="4">
        <v>1074.47</v>
      </c>
      <c r="F160" s="4">
        <v>6</v>
      </c>
      <c r="G160" s="4">
        <v>0.2</v>
      </c>
      <c r="H160" s="5">
        <v>45401</v>
      </c>
      <c r="I160" s="4">
        <v>300.85000000000002</v>
      </c>
      <c r="J160" s="13">
        <f t="shared" ca="1" si="8"/>
        <v>46146.906177777775</v>
      </c>
    </row>
    <row r="161" spans="1:10" ht="15.75" customHeight="1" x14ac:dyDescent="0.3">
      <c r="A161" s="4" t="s">
        <v>32</v>
      </c>
      <c r="B161" s="4" t="s">
        <v>33</v>
      </c>
      <c r="C161" s="4" t="s">
        <v>36</v>
      </c>
      <c r="D161" s="4" t="s">
        <v>23</v>
      </c>
      <c r="E161" s="4">
        <v>645.02</v>
      </c>
      <c r="F161" s="4">
        <v>4</v>
      </c>
      <c r="G161" s="4">
        <v>0</v>
      </c>
      <c r="H161" s="5">
        <v>45414</v>
      </c>
      <c r="I161" s="4">
        <v>161.26</v>
      </c>
      <c r="J161" s="13">
        <f t="shared" ca="1" si="8"/>
        <v>46146.906177777775</v>
      </c>
    </row>
    <row r="162" spans="1:10" ht="15.75" customHeight="1" x14ac:dyDescent="0.3">
      <c r="A162" s="4" t="s">
        <v>32</v>
      </c>
      <c r="B162" s="4" t="s">
        <v>63</v>
      </c>
      <c r="C162" s="4" t="s">
        <v>26</v>
      </c>
      <c r="D162" s="4" t="s">
        <v>29</v>
      </c>
      <c r="E162" s="4">
        <v>1227.25</v>
      </c>
      <c r="F162" s="4">
        <v>12</v>
      </c>
      <c r="G162" s="4">
        <v>0.15</v>
      </c>
      <c r="H162" s="5">
        <v>45448</v>
      </c>
      <c r="I162" s="4">
        <v>365.11</v>
      </c>
      <c r="J162" s="13">
        <f t="shared" ref="J162:J193" ca="1" si="9">NOW()</f>
        <v>46146.906177777775</v>
      </c>
    </row>
    <row r="163" spans="1:10" ht="15.75" customHeight="1" x14ac:dyDescent="0.3">
      <c r="A163" s="4" t="s">
        <v>32</v>
      </c>
      <c r="B163" s="4" t="s">
        <v>33</v>
      </c>
      <c r="C163" s="4" t="s">
        <v>20</v>
      </c>
      <c r="D163" s="4" t="s">
        <v>29</v>
      </c>
      <c r="E163" s="4">
        <v>933.71</v>
      </c>
      <c r="F163" s="4">
        <v>17</v>
      </c>
      <c r="G163" s="4">
        <v>0.1</v>
      </c>
      <c r="H163" s="5">
        <v>45481</v>
      </c>
      <c r="I163" s="4">
        <v>294.12</v>
      </c>
      <c r="J163" s="13">
        <f t="shared" ca="1" si="9"/>
        <v>46146.906177777775</v>
      </c>
    </row>
    <row r="164" spans="1:10" ht="15.75" customHeight="1" x14ac:dyDescent="0.3">
      <c r="A164" s="4" t="s">
        <v>32</v>
      </c>
      <c r="B164" s="4" t="s">
        <v>31</v>
      </c>
      <c r="C164" s="4" t="s">
        <v>13</v>
      </c>
      <c r="D164" s="4" t="s">
        <v>41</v>
      </c>
      <c r="E164" s="4">
        <v>1111.3399999999999</v>
      </c>
      <c r="F164" s="4">
        <v>1</v>
      </c>
      <c r="G164" s="4">
        <v>0</v>
      </c>
      <c r="H164" s="5">
        <v>45523</v>
      </c>
      <c r="I164" s="4">
        <v>500.1</v>
      </c>
      <c r="J164" s="13">
        <f t="shared" ca="1" si="9"/>
        <v>46146.906177777775</v>
      </c>
    </row>
    <row r="165" spans="1:10" ht="15.75" customHeight="1" x14ac:dyDescent="0.3">
      <c r="A165" s="4" t="s">
        <v>32</v>
      </c>
      <c r="B165" s="4" t="s">
        <v>61</v>
      </c>
      <c r="C165" s="4" t="s">
        <v>26</v>
      </c>
      <c r="D165" s="4" t="s">
        <v>29</v>
      </c>
      <c r="E165" s="4">
        <v>957.29</v>
      </c>
      <c r="F165" s="4">
        <v>4</v>
      </c>
      <c r="G165" s="4">
        <v>0.05</v>
      </c>
      <c r="H165" s="5">
        <v>45605</v>
      </c>
      <c r="I165" s="4">
        <v>318.3</v>
      </c>
      <c r="J165" s="13">
        <f t="shared" ca="1" si="9"/>
        <v>46146.906177777775</v>
      </c>
    </row>
    <row r="166" spans="1:10" ht="15.75" customHeight="1" x14ac:dyDescent="0.3">
      <c r="A166" s="4" t="s">
        <v>32</v>
      </c>
      <c r="B166" s="4" t="s">
        <v>68</v>
      </c>
      <c r="C166" s="4" t="s">
        <v>20</v>
      </c>
      <c r="D166" s="4" t="s">
        <v>14</v>
      </c>
      <c r="E166" s="4">
        <v>1231.26</v>
      </c>
      <c r="F166" s="4">
        <v>9</v>
      </c>
      <c r="G166" s="4">
        <v>0</v>
      </c>
      <c r="H166" s="5">
        <v>45646</v>
      </c>
      <c r="I166" s="4">
        <v>492.5</v>
      </c>
      <c r="J166" s="13">
        <f t="shared" ca="1" si="9"/>
        <v>46146.906177777775</v>
      </c>
    </row>
    <row r="167" spans="1:10" ht="15.75" customHeight="1" x14ac:dyDescent="0.3">
      <c r="A167" s="4" t="s">
        <v>32</v>
      </c>
      <c r="B167" s="4" t="s">
        <v>45</v>
      </c>
      <c r="C167" s="4" t="s">
        <v>13</v>
      </c>
      <c r="D167" s="4" t="s">
        <v>23</v>
      </c>
      <c r="E167" s="4">
        <v>1161.67</v>
      </c>
      <c r="F167" s="4">
        <v>19</v>
      </c>
      <c r="G167" s="4">
        <v>0.2</v>
      </c>
      <c r="H167" s="5">
        <v>45647</v>
      </c>
      <c r="I167" s="4">
        <v>232.33</v>
      </c>
      <c r="J167" s="13">
        <f t="shared" ca="1" si="9"/>
        <v>46146.906177777775</v>
      </c>
    </row>
    <row r="168" spans="1:10" ht="15.75" customHeight="1" x14ac:dyDescent="0.3">
      <c r="A168" s="4" t="s">
        <v>32</v>
      </c>
      <c r="B168" s="4" t="s">
        <v>57</v>
      </c>
      <c r="C168" s="4" t="s">
        <v>13</v>
      </c>
      <c r="D168" s="4" t="s">
        <v>23</v>
      </c>
      <c r="E168" s="4">
        <v>1029.8</v>
      </c>
      <c r="F168" s="4">
        <v>3</v>
      </c>
      <c r="G168" s="4">
        <v>0</v>
      </c>
      <c r="H168" s="5">
        <v>45708</v>
      </c>
      <c r="I168" s="4">
        <v>257.45</v>
      </c>
      <c r="J168" s="13">
        <f t="shared" ca="1" si="9"/>
        <v>46146.906177777775</v>
      </c>
    </row>
    <row r="169" spans="1:10" ht="15.75" customHeight="1" x14ac:dyDescent="0.3">
      <c r="A169" s="4" t="s">
        <v>76</v>
      </c>
      <c r="B169" s="4" t="s">
        <v>40</v>
      </c>
      <c r="C169" s="4" t="s">
        <v>20</v>
      </c>
      <c r="D169" s="4" t="s">
        <v>41</v>
      </c>
      <c r="E169" s="4">
        <v>875.41</v>
      </c>
      <c r="F169" s="4">
        <v>13</v>
      </c>
      <c r="G169" s="4">
        <v>0.15</v>
      </c>
      <c r="H169" s="5">
        <v>45552</v>
      </c>
      <c r="I169" s="4">
        <v>334.84</v>
      </c>
      <c r="J169" s="13">
        <f t="shared" ca="1" si="9"/>
        <v>46146.906177777775</v>
      </c>
    </row>
    <row r="170" spans="1:10" ht="15.75" customHeight="1" x14ac:dyDescent="0.3">
      <c r="A170" s="4" t="s">
        <v>76</v>
      </c>
      <c r="B170" s="4" t="s">
        <v>40</v>
      </c>
      <c r="C170" s="4" t="s">
        <v>26</v>
      </c>
      <c r="D170" s="4" t="s">
        <v>14</v>
      </c>
      <c r="E170" s="4">
        <v>585.97</v>
      </c>
      <c r="F170" s="4">
        <v>17</v>
      </c>
      <c r="G170" s="4">
        <v>0.1</v>
      </c>
      <c r="H170" s="5">
        <v>45565</v>
      </c>
      <c r="I170" s="4">
        <v>210.95</v>
      </c>
      <c r="J170" s="13">
        <f t="shared" ca="1" si="9"/>
        <v>46146.906177777775</v>
      </c>
    </row>
    <row r="171" spans="1:10" ht="15.75" customHeight="1" x14ac:dyDescent="0.3">
      <c r="A171" s="4" t="s">
        <v>76</v>
      </c>
      <c r="B171" s="4" t="s">
        <v>25</v>
      </c>
      <c r="C171" s="4" t="s">
        <v>13</v>
      </c>
      <c r="D171" s="4" t="s">
        <v>17</v>
      </c>
      <c r="E171" s="4">
        <v>697.57</v>
      </c>
      <c r="F171" s="4">
        <v>17</v>
      </c>
      <c r="G171" s="4">
        <v>0.1</v>
      </c>
      <c r="H171" s="5">
        <v>45584</v>
      </c>
      <c r="I171" s="4">
        <v>313.91000000000003</v>
      </c>
      <c r="J171" s="13">
        <f t="shared" ca="1" si="9"/>
        <v>46146.906177777775</v>
      </c>
    </row>
    <row r="172" spans="1:10" ht="15.75" customHeight="1" x14ac:dyDescent="0.3">
      <c r="A172" s="4" t="s">
        <v>76</v>
      </c>
      <c r="B172" s="4" t="s">
        <v>25</v>
      </c>
      <c r="C172" s="4" t="s">
        <v>13</v>
      </c>
      <c r="D172" s="4" t="s">
        <v>23</v>
      </c>
      <c r="E172" s="4">
        <v>258.51</v>
      </c>
      <c r="F172" s="4">
        <v>19</v>
      </c>
      <c r="G172" s="4">
        <v>0</v>
      </c>
      <c r="H172" s="5">
        <v>45616</v>
      </c>
      <c r="I172" s="4">
        <v>64.63</v>
      </c>
      <c r="J172" s="13">
        <f t="shared" ca="1" si="9"/>
        <v>46146.906177777775</v>
      </c>
    </row>
    <row r="173" spans="1:10" ht="15.75" customHeight="1" x14ac:dyDescent="0.3">
      <c r="A173" s="4" t="s">
        <v>76</v>
      </c>
      <c r="B173" s="4" t="s">
        <v>31</v>
      </c>
      <c r="C173" s="4" t="s">
        <v>36</v>
      </c>
      <c r="D173" s="4" t="s">
        <v>23</v>
      </c>
      <c r="E173" s="4">
        <v>1488.58</v>
      </c>
      <c r="F173" s="4">
        <v>10</v>
      </c>
      <c r="G173" s="4">
        <v>0.15</v>
      </c>
      <c r="H173" s="5">
        <v>45640</v>
      </c>
      <c r="I173" s="4">
        <v>316.32</v>
      </c>
      <c r="J173" s="13">
        <f t="shared" ca="1" si="9"/>
        <v>46146.906177777775</v>
      </c>
    </row>
    <row r="174" spans="1:10" ht="15.75" customHeight="1" x14ac:dyDescent="0.3">
      <c r="A174" s="4" t="s">
        <v>54</v>
      </c>
      <c r="B174" s="4" t="s">
        <v>55</v>
      </c>
      <c r="C174" s="4" t="s">
        <v>20</v>
      </c>
      <c r="D174" s="4" t="s">
        <v>41</v>
      </c>
      <c r="E174" s="4">
        <v>983.34</v>
      </c>
      <c r="F174" s="4">
        <v>19</v>
      </c>
      <c r="G174" s="4">
        <v>0.1</v>
      </c>
      <c r="H174" s="5">
        <v>45426</v>
      </c>
      <c r="I174" s="4">
        <v>398.25</v>
      </c>
      <c r="J174" s="13">
        <f t="shared" ca="1" si="9"/>
        <v>46146.906177777775</v>
      </c>
    </row>
    <row r="175" spans="1:10" ht="15.75" customHeight="1" x14ac:dyDescent="0.3">
      <c r="A175" s="4" t="s">
        <v>54</v>
      </c>
      <c r="B175" s="4" t="s">
        <v>25</v>
      </c>
      <c r="C175" s="4" t="s">
        <v>22</v>
      </c>
      <c r="D175" s="4" t="s">
        <v>23</v>
      </c>
      <c r="E175" s="4">
        <v>801.21</v>
      </c>
      <c r="F175" s="4">
        <v>3</v>
      </c>
      <c r="G175" s="4">
        <v>0.2</v>
      </c>
      <c r="H175" s="5">
        <v>45426</v>
      </c>
      <c r="I175" s="4">
        <v>160.24</v>
      </c>
      <c r="J175" s="13">
        <f t="shared" ca="1" si="9"/>
        <v>46146.906177777775</v>
      </c>
    </row>
    <row r="176" spans="1:10" ht="15.75" customHeight="1" x14ac:dyDescent="0.3">
      <c r="A176" s="4" t="s">
        <v>54</v>
      </c>
      <c r="B176" s="4" t="s">
        <v>50</v>
      </c>
      <c r="C176" s="4" t="s">
        <v>36</v>
      </c>
      <c r="D176" s="4" t="s">
        <v>29</v>
      </c>
      <c r="E176" s="4">
        <v>1410.06</v>
      </c>
      <c r="F176" s="4">
        <v>11</v>
      </c>
      <c r="G176" s="4">
        <v>0.05</v>
      </c>
      <c r="H176" s="5">
        <v>45434</v>
      </c>
      <c r="I176" s="4">
        <v>468.84</v>
      </c>
      <c r="J176" s="13">
        <f t="shared" ca="1" si="9"/>
        <v>46146.906177777775</v>
      </c>
    </row>
    <row r="177" spans="1:10" ht="15.75" customHeight="1" x14ac:dyDescent="0.3">
      <c r="A177" s="4" t="s">
        <v>54</v>
      </c>
      <c r="B177" s="4" t="s">
        <v>25</v>
      </c>
      <c r="C177" s="4" t="s">
        <v>36</v>
      </c>
      <c r="D177" s="4" t="s">
        <v>41</v>
      </c>
      <c r="E177" s="4">
        <v>1025.98</v>
      </c>
      <c r="F177" s="4">
        <v>5</v>
      </c>
      <c r="G177" s="4">
        <v>0.2</v>
      </c>
      <c r="H177" s="5">
        <v>45447</v>
      </c>
      <c r="I177" s="4">
        <v>369.35</v>
      </c>
      <c r="J177" s="13">
        <f t="shared" ca="1" si="9"/>
        <v>46146.906177777775</v>
      </c>
    </row>
    <row r="178" spans="1:10" ht="15.75" customHeight="1" x14ac:dyDescent="0.3">
      <c r="A178" s="4" t="s">
        <v>54</v>
      </c>
      <c r="B178" s="4" t="s">
        <v>52</v>
      </c>
      <c r="C178" s="4" t="s">
        <v>36</v>
      </c>
      <c r="D178" s="4" t="s">
        <v>23</v>
      </c>
      <c r="E178" s="4">
        <v>790.08</v>
      </c>
      <c r="F178" s="4">
        <v>7</v>
      </c>
      <c r="G178" s="4">
        <v>0.1</v>
      </c>
      <c r="H178" s="5">
        <v>45536</v>
      </c>
      <c r="I178" s="4">
        <v>177.77</v>
      </c>
      <c r="J178" s="13">
        <f t="shared" ca="1" si="9"/>
        <v>46146.906177777775</v>
      </c>
    </row>
    <row r="179" spans="1:10" ht="15.75" customHeight="1" x14ac:dyDescent="0.3">
      <c r="A179" s="4" t="s">
        <v>54</v>
      </c>
      <c r="B179" s="4" t="s">
        <v>52</v>
      </c>
      <c r="C179" s="4" t="s">
        <v>22</v>
      </c>
      <c r="D179" s="4" t="s">
        <v>17</v>
      </c>
      <c r="E179" s="4">
        <v>1163.01</v>
      </c>
      <c r="F179" s="4">
        <v>5</v>
      </c>
      <c r="G179" s="4">
        <v>0</v>
      </c>
      <c r="H179" s="5">
        <v>45611</v>
      </c>
      <c r="I179" s="4">
        <v>581.5</v>
      </c>
      <c r="J179" s="13">
        <f t="shared" ca="1" si="9"/>
        <v>46146.906177777775</v>
      </c>
    </row>
    <row r="180" spans="1:10" ht="15.75" customHeight="1" x14ac:dyDescent="0.3">
      <c r="A180" s="4" t="s">
        <v>54</v>
      </c>
      <c r="B180" s="4" t="s">
        <v>50</v>
      </c>
      <c r="C180" s="4" t="s">
        <v>26</v>
      </c>
      <c r="D180" s="4" t="s">
        <v>41</v>
      </c>
      <c r="E180" s="4">
        <v>309.42</v>
      </c>
      <c r="F180" s="4">
        <v>1</v>
      </c>
      <c r="G180" s="4">
        <v>0.2</v>
      </c>
      <c r="H180" s="5">
        <v>45658</v>
      </c>
      <c r="I180" s="4">
        <v>111.39</v>
      </c>
      <c r="J180" s="13">
        <f t="shared" ca="1" si="9"/>
        <v>46146.906177777775</v>
      </c>
    </row>
    <row r="181" spans="1:10" ht="15.75" customHeight="1" x14ac:dyDescent="0.3">
      <c r="A181" s="4" t="s">
        <v>54</v>
      </c>
      <c r="B181" s="4" t="s">
        <v>25</v>
      </c>
      <c r="C181" s="4" t="s">
        <v>36</v>
      </c>
      <c r="D181" s="4" t="s">
        <v>41</v>
      </c>
      <c r="E181" s="4">
        <v>745.05</v>
      </c>
      <c r="F181" s="4">
        <v>10</v>
      </c>
      <c r="G181" s="4">
        <v>0.1</v>
      </c>
      <c r="H181" s="5">
        <v>45660</v>
      </c>
      <c r="I181" s="4">
        <v>301.75</v>
      </c>
      <c r="J181" s="13">
        <f t="shared" ca="1" si="9"/>
        <v>46146.906177777775</v>
      </c>
    </row>
    <row r="182" spans="1:10" ht="15.75" customHeight="1" x14ac:dyDescent="0.3">
      <c r="A182" s="4" t="s">
        <v>54</v>
      </c>
      <c r="B182" s="4" t="s">
        <v>25</v>
      </c>
      <c r="C182" s="4" t="s">
        <v>13</v>
      </c>
      <c r="D182" s="4" t="s">
        <v>23</v>
      </c>
      <c r="E182" s="4">
        <v>1115.22</v>
      </c>
      <c r="F182" s="4">
        <v>14</v>
      </c>
      <c r="G182" s="4">
        <v>0.2</v>
      </c>
      <c r="H182" s="5">
        <v>45705</v>
      </c>
      <c r="I182" s="4">
        <v>223.04</v>
      </c>
      <c r="J182" s="13">
        <f t="shared" ca="1" si="9"/>
        <v>46146.906177777775</v>
      </c>
    </row>
    <row r="183" spans="1:10" ht="15.75" customHeight="1" x14ac:dyDescent="0.3">
      <c r="A183" s="4" t="s">
        <v>54</v>
      </c>
      <c r="B183" s="4" t="s">
        <v>66</v>
      </c>
      <c r="C183" s="4" t="s">
        <v>26</v>
      </c>
      <c r="D183" s="4" t="s">
        <v>14</v>
      </c>
      <c r="E183" s="4">
        <v>710.52</v>
      </c>
      <c r="F183" s="4">
        <v>8</v>
      </c>
      <c r="G183" s="4">
        <v>0.1</v>
      </c>
      <c r="H183" s="5">
        <v>45721</v>
      </c>
      <c r="I183" s="4">
        <v>255.79</v>
      </c>
      <c r="J183" s="13">
        <f t="shared" ca="1" si="9"/>
        <v>46146.906177777775</v>
      </c>
    </row>
    <row r="184" spans="1:10" ht="15.75" customHeight="1" x14ac:dyDescent="0.3">
      <c r="A184" s="4" t="s">
        <v>54</v>
      </c>
      <c r="B184" s="4" t="s">
        <v>61</v>
      </c>
      <c r="C184" s="4" t="s">
        <v>26</v>
      </c>
      <c r="D184" s="4" t="s">
        <v>14</v>
      </c>
      <c r="E184" s="4">
        <v>499.18</v>
      </c>
      <c r="F184" s="4">
        <v>15</v>
      </c>
      <c r="G184" s="4">
        <v>0.2</v>
      </c>
      <c r="H184" s="5">
        <v>45724</v>
      </c>
      <c r="I184" s="4">
        <v>159.74</v>
      </c>
      <c r="J184" s="13">
        <f t="shared" ca="1" si="9"/>
        <v>46146.906177777775</v>
      </c>
    </row>
    <row r="185" spans="1:10" ht="15.75" customHeight="1" x14ac:dyDescent="0.3">
      <c r="A185" s="4" t="s">
        <v>54</v>
      </c>
      <c r="B185" s="4" t="s">
        <v>16</v>
      </c>
      <c r="C185" s="4" t="s">
        <v>22</v>
      </c>
      <c r="D185" s="4" t="s">
        <v>41</v>
      </c>
      <c r="E185" s="4">
        <v>740.8</v>
      </c>
      <c r="F185" s="4">
        <v>3</v>
      </c>
      <c r="G185" s="4">
        <v>0</v>
      </c>
      <c r="H185" s="5">
        <v>45749</v>
      </c>
      <c r="I185" s="4">
        <v>333.36</v>
      </c>
      <c r="J185" s="13">
        <f t="shared" ca="1" si="9"/>
        <v>46146.906177777775</v>
      </c>
    </row>
    <row r="186" spans="1:10" ht="15.75" customHeight="1" x14ac:dyDescent="0.3">
      <c r="A186" s="4" t="s">
        <v>43</v>
      </c>
      <c r="B186" s="4" t="s">
        <v>44</v>
      </c>
      <c r="C186" s="4" t="s">
        <v>26</v>
      </c>
      <c r="D186" s="4" t="s">
        <v>29</v>
      </c>
      <c r="E186" s="4">
        <v>521.66999999999996</v>
      </c>
      <c r="F186" s="4">
        <v>15</v>
      </c>
      <c r="G186" s="4">
        <v>0.15</v>
      </c>
      <c r="H186" s="5">
        <v>45409</v>
      </c>
      <c r="I186" s="4">
        <v>155.19999999999999</v>
      </c>
      <c r="J186" s="13">
        <f t="shared" ca="1" si="9"/>
        <v>46146.906177777775</v>
      </c>
    </row>
    <row r="187" spans="1:10" ht="15.75" customHeight="1" x14ac:dyDescent="0.3">
      <c r="A187" s="4" t="s">
        <v>43</v>
      </c>
      <c r="B187" s="4" t="s">
        <v>66</v>
      </c>
      <c r="C187" s="4" t="s">
        <v>26</v>
      </c>
      <c r="D187" s="4" t="s">
        <v>23</v>
      </c>
      <c r="E187" s="4">
        <v>741.61</v>
      </c>
      <c r="F187" s="4">
        <v>1</v>
      </c>
      <c r="G187" s="4">
        <v>0.2</v>
      </c>
      <c r="H187" s="5">
        <v>45471</v>
      </c>
      <c r="I187" s="4">
        <v>148.32</v>
      </c>
      <c r="J187" s="13">
        <f t="shared" ca="1" si="9"/>
        <v>46146.906177777775</v>
      </c>
    </row>
    <row r="188" spans="1:10" ht="15.75" customHeight="1" x14ac:dyDescent="0.3">
      <c r="A188" s="4" t="s">
        <v>43</v>
      </c>
      <c r="B188" s="4" t="s">
        <v>63</v>
      </c>
      <c r="C188" s="4" t="s">
        <v>22</v>
      </c>
      <c r="D188" s="4" t="s">
        <v>23</v>
      </c>
      <c r="E188" s="4">
        <v>1100.0999999999999</v>
      </c>
      <c r="F188" s="4">
        <v>5</v>
      </c>
      <c r="G188" s="4">
        <v>0.05</v>
      </c>
      <c r="H188" s="5">
        <v>45482</v>
      </c>
      <c r="I188" s="4">
        <v>261.27</v>
      </c>
      <c r="J188" s="13">
        <f t="shared" ca="1" si="9"/>
        <v>46146.906177777775</v>
      </c>
    </row>
    <row r="189" spans="1:10" ht="15.75" customHeight="1" x14ac:dyDescent="0.3">
      <c r="A189" s="4" t="s">
        <v>43</v>
      </c>
      <c r="B189" s="4" t="s">
        <v>63</v>
      </c>
      <c r="C189" s="4" t="s">
        <v>13</v>
      </c>
      <c r="D189" s="4" t="s">
        <v>29</v>
      </c>
      <c r="E189" s="4">
        <v>1172.97</v>
      </c>
      <c r="F189" s="4">
        <v>7</v>
      </c>
      <c r="G189" s="4">
        <v>0.15</v>
      </c>
      <c r="H189" s="5">
        <v>45559</v>
      </c>
      <c r="I189" s="4">
        <v>348.96</v>
      </c>
      <c r="J189" s="13">
        <f t="shared" ca="1" si="9"/>
        <v>46146.906177777775</v>
      </c>
    </row>
    <row r="190" spans="1:10" ht="15.75" customHeight="1" x14ac:dyDescent="0.3">
      <c r="A190" s="4" t="s">
        <v>43</v>
      </c>
      <c r="B190" s="4" t="s">
        <v>47</v>
      </c>
      <c r="C190" s="4" t="s">
        <v>20</v>
      </c>
      <c r="D190" s="4" t="s">
        <v>23</v>
      </c>
      <c r="E190" s="4">
        <v>919.18</v>
      </c>
      <c r="F190" s="4">
        <v>4</v>
      </c>
      <c r="G190" s="4">
        <v>0.15</v>
      </c>
      <c r="H190" s="5">
        <v>45615</v>
      </c>
      <c r="I190" s="4">
        <v>195.33</v>
      </c>
      <c r="J190" s="13">
        <f t="shared" ca="1" si="9"/>
        <v>46146.906177777775</v>
      </c>
    </row>
    <row r="191" spans="1:10" ht="15.75" customHeight="1" x14ac:dyDescent="0.3">
      <c r="A191" s="4" t="s">
        <v>43</v>
      </c>
      <c r="B191" s="4" t="s">
        <v>57</v>
      </c>
      <c r="C191" s="4" t="s">
        <v>13</v>
      </c>
      <c r="D191" s="4" t="s">
        <v>17</v>
      </c>
      <c r="E191" s="4">
        <v>864.98</v>
      </c>
      <c r="F191" s="4">
        <v>2</v>
      </c>
      <c r="G191" s="4">
        <v>0.05</v>
      </c>
      <c r="H191" s="5">
        <v>45727</v>
      </c>
      <c r="I191" s="4">
        <v>410.87</v>
      </c>
      <c r="J191" s="13">
        <f t="shared" ca="1" si="9"/>
        <v>46146.906177777775</v>
      </c>
    </row>
    <row r="192" spans="1:10" ht="15.75" customHeight="1" x14ac:dyDescent="0.3">
      <c r="A192" s="4" t="s">
        <v>43</v>
      </c>
      <c r="B192" s="4" t="s">
        <v>28</v>
      </c>
      <c r="C192" s="4" t="s">
        <v>26</v>
      </c>
      <c r="D192" s="4" t="s">
        <v>23</v>
      </c>
      <c r="E192" s="4">
        <v>458.54</v>
      </c>
      <c r="F192" s="4">
        <v>15</v>
      </c>
      <c r="G192" s="4">
        <v>0.2</v>
      </c>
      <c r="H192" s="5">
        <v>45741</v>
      </c>
      <c r="I192" s="4">
        <v>91.71</v>
      </c>
      <c r="J192" s="13">
        <f t="shared" ca="1" si="9"/>
        <v>46146.906177777775</v>
      </c>
    </row>
    <row r="193" spans="1:10" ht="15.75" customHeight="1" x14ac:dyDescent="0.3">
      <c r="A193" s="4" t="s">
        <v>24</v>
      </c>
      <c r="B193" s="4" t="s">
        <v>25</v>
      </c>
      <c r="C193" s="4" t="s">
        <v>26</v>
      </c>
      <c r="D193" s="4" t="s">
        <v>14</v>
      </c>
      <c r="E193" s="4">
        <v>847</v>
      </c>
      <c r="F193" s="4">
        <v>12</v>
      </c>
      <c r="G193" s="4">
        <v>0.2</v>
      </c>
      <c r="H193" s="5">
        <v>45397</v>
      </c>
      <c r="I193" s="4">
        <v>271.04000000000002</v>
      </c>
      <c r="J193" s="13">
        <f t="shared" ca="1" si="9"/>
        <v>46146.906177777775</v>
      </c>
    </row>
    <row r="194" spans="1:10" ht="15.75" customHeight="1" x14ac:dyDescent="0.3">
      <c r="A194" s="4" t="s">
        <v>24</v>
      </c>
      <c r="B194" s="4" t="s">
        <v>53</v>
      </c>
      <c r="C194" s="4" t="s">
        <v>26</v>
      </c>
      <c r="D194" s="4" t="s">
        <v>29</v>
      </c>
      <c r="E194" s="4">
        <v>675.54</v>
      </c>
      <c r="F194" s="4">
        <v>17</v>
      </c>
      <c r="G194" s="4">
        <v>0</v>
      </c>
      <c r="H194" s="5">
        <v>45420</v>
      </c>
      <c r="I194" s="4">
        <v>236.44</v>
      </c>
      <c r="J194" s="13">
        <f t="shared" ref="J194:J201" ca="1" si="10">NOW()</f>
        <v>46146.906177777775</v>
      </c>
    </row>
    <row r="195" spans="1:10" ht="15.75" customHeight="1" x14ac:dyDescent="0.3">
      <c r="A195" s="4" t="s">
        <v>24</v>
      </c>
      <c r="B195" s="4" t="s">
        <v>66</v>
      </c>
      <c r="C195" s="4" t="s">
        <v>22</v>
      </c>
      <c r="D195" s="4" t="s">
        <v>29</v>
      </c>
      <c r="E195" s="4">
        <v>1086.93</v>
      </c>
      <c r="F195" s="4">
        <v>2</v>
      </c>
      <c r="G195" s="4">
        <v>0</v>
      </c>
      <c r="H195" s="5">
        <v>45464</v>
      </c>
      <c r="I195" s="4">
        <v>380.43</v>
      </c>
      <c r="J195" s="13">
        <f t="shared" ca="1" si="10"/>
        <v>46146.906177777775</v>
      </c>
    </row>
    <row r="196" spans="1:10" ht="15.75" customHeight="1" x14ac:dyDescent="0.3">
      <c r="A196" s="4" t="s">
        <v>24</v>
      </c>
      <c r="B196" s="4" t="s">
        <v>68</v>
      </c>
      <c r="C196" s="4" t="s">
        <v>36</v>
      </c>
      <c r="D196" s="4" t="s">
        <v>14</v>
      </c>
      <c r="E196" s="4">
        <v>973.26</v>
      </c>
      <c r="F196" s="4">
        <v>11</v>
      </c>
      <c r="G196" s="4">
        <v>0</v>
      </c>
      <c r="H196" s="5">
        <v>45470</v>
      </c>
      <c r="I196" s="4">
        <v>389.3</v>
      </c>
      <c r="J196" s="13">
        <f t="shared" ca="1" si="10"/>
        <v>46146.906177777775</v>
      </c>
    </row>
    <row r="197" spans="1:10" ht="15.75" customHeight="1" x14ac:dyDescent="0.3">
      <c r="A197" s="4" t="s">
        <v>24</v>
      </c>
      <c r="B197" s="4" t="s">
        <v>57</v>
      </c>
      <c r="C197" s="4" t="s">
        <v>36</v>
      </c>
      <c r="D197" s="4" t="s">
        <v>23</v>
      </c>
      <c r="E197" s="4">
        <v>608.66</v>
      </c>
      <c r="F197" s="4">
        <v>1</v>
      </c>
      <c r="G197" s="4">
        <v>0.05</v>
      </c>
      <c r="H197" s="5">
        <v>45503</v>
      </c>
      <c r="I197" s="4">
        <v>144.56</v>
      </c>
      <c r="J197" s="13">
        <f t="shared" ca="1" si="10"/>
        <v>46146.906177777775</v>
      </c>
    </row>
    <row r="198" spans="1:10" ht="15.75" customHeight="1" x14ac:dyDescent="0.3">
      <c r="A198" s="4" t="s">
        <v>24</v>
      </c>
      <c r="B198" s="4" t="s">
        <v>33</v>
      </c>
      <c r="C198" s="4" t="s">
        <v>20</v>
      </c>
      <c r="D198" s="4" t="s">
        <v>17</v>
      </c>
      <c r="E198" s="4">
        <v>1291.47</v>
      </c>
      <c r="F198" s="4">
        <v>18</v>
      </c>
      <c r="G198" s="4">
        <v>0.1</v>
      </c>
      <c r="H198" s="5">
        <v>45526</v>
      </c>
      <c r="I198" s="4">
        <v>581.16</v>
      </c>
      <c r="J198" s="13">
        <f t="shared" ca="1" si="10"/>
        <v>46146.906177777775</v>
      </c>
    </row>
    <row r="199" spans="1:10" ht="15.75" customHeight="1" x14ac:dyDescent="0.3">
      <c r="A199" s="4" t="s">
        <v>24</v>
      </c>
      <c r="B199" s="4" t="s">
        <v>45</v>
      </c>
      <c r="C199" s="4" t="s">
        <v>13</v>
      </c>
      <c r="D199" s="4" t="s">
        <v>17</v>
      </c>
      <c r="E199" s="4">
        <v>585.16</v>
      </c>
      <c r="F199" s="4">
        <v>17</v>
      </c>
      <c r="G199" s="4">
        <v>0.1</v>
      </c>
      <c r="H199" s="5">
        <v>45684</v>
      </c>
      <c r="I199" s="4">
        <v>263.32</v>
      </c>
      <c r="J199" s="13">
        <f t="shared" ca="1" si="10"/>
        <v>46146.906177777775</v>
      </c>
    </row>
    <row r="200" spans="1:10" ht="15.75" customHeight="1" x14ac:dyDescent="0.3">
      <c r="A200" s="4" t="s">
        <v>24</v>
      </c>
      <c r="B200" s="4" t="s">
        <v>33</v>
      </c>
      <c r="C200" s="4" t="s">
        <v>20</v>
      </c>
      <c r="D200" s="4" t="s">
        <v>17</v>
      </c>
      <c r="E200" s="4">
        <v>1109.98</v>
      </c>
      <c r="F200" s="4">
        <v>5</v>
      </c>
      <c r="G200" s="4">
        <v>0.2</v>
      </c>
      <c r="H200" s="5">
        <v>45690</v>
      </c>
      <c r="I200" s="4">
        <v>443.99</v>
      </c>
      <c r="J200" s="13">
        <f t="shared" ca="1" si="10"/>
        <v>46146.906177777775</v>
      </c>
    </row>
    <row r="201" spans="1:10" ht="15.75" customHeight="1" x14ac:dyDescent="0.3">
      <c r="A201" s="4" t="s">
        <v>24</v>
      </c>
      <c r="B201" s="4" t="s">
        <v>55</v>
      </c>
      <c r="C201" s="4" t="s">
        <v>26</v>
      </c>
      <c r="D201" s="4" t="s">
        <v>14</v>
      </c>
      <c r="E201" s="4">
        <v>750.71</v>
      </c>
      <c r="F201" s="4">
        <v>10</v>
      </c>
      <c r="G201" s="4">
        <v>0.15</v>
      </c>
      <c r="H201" s="5">
        <v>45743</v>
      </c>
      <c r="I201" s="4">
        <v>255.24</v>
      </c>
      <c r="J201" s="13">
        <f t="shared" ca="1" si="10"/>
        <v>46146.906177777775</v>
      </c>
    </row>
    <row r="202" spans="1:10" ht="15.75" customHeight="1" x14ac:dyDescent="0.3">
      <c r="A202" s="11" t="s">
        <v>91</v>
      </c>
      <c r="B202" s="11"/>
      <c r="C202" s="11"/>
      <c r="D202" s="11"/>
      <c r="E202" s="11">
        <f>SUBTOTAL(109,Table1[Sales])</f>
        <v>195217.75999999995</v>
      </c>
      <c r="F202" s="11">
        <f>SUBTOTAL(109,Table1[Quantity])</f>
        <v>1999</v>
      </c>
      <c r="G202" s="11">
        <f>SUBTOTAL(101,Table1[Discount])</f>
        <v>9.7249999999999975E-2</v>
      </c>
      <c r="H202" s="12"/>
      <c r="I202" s="11">
        <f>SUBTOTAL(109,Table1[Profit])</f>
        <v>68287.010000000009</v>
      </c>
      <c r="J202" s="11"/>
    </row>
    <row r="203" spans="1:10" ht="15.75" customHeight="1" x14ac:dyDescent="0.3"/>
    <row r="204" spans="1:10" ht="15.75" customHeight="1" x14ac:dyDescent="0.3"/>
    <row r="205" spans="1:10" ht="15.75" customHeight="1" x14ac:dyDescent="0.3"/>
    <row r="206" spans="1:10" ht="15.75" customHeight="1" x14ac:dyDescent="0.3"/>
    <row r="207" spans="1:10" ht="15.75" customHeight="1" x14ac:dyDescent="0.3"/>
    <row r="208" spans="1:10"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0" show="0">
    <scenario name="Sales with discount " locked="1" count="31" user="ASUS" comment="Created by ASUS on 5/4/2026_x000a_Modified by ASUS on 5/4/2026">
      <inputCells r="E1" val="Sales"/>
      <inputCells r="E2" val="1317.53"/>
      <inputCells r="E3" val="636.7"/>
      <inputCells r="E4" val="853.72"/>
      <inputCells r="E5" val="1077.92"/>
      <inputCells r="E6" val="894.55"/>
      <inputCells r="E7" val="1432.47"/>
      <inputCells r="E8" val="336.66"/>
      <inputCells r="E9" val="942.9"/>
      <inputCells r="E10" val="876.44"/>
      <inputCells r="E11" val="1410.59"/>
      <inputCells r="E12" val="806.03"/>
      <inputCells r="E13" val="827.25"/>
      <inputCells r="E14" val="1618.22"/>
      <inputCells r="E15" val="1248.82"/>
      <inputCells r="E16" val="1005.53"/>
      <inputCells r="E17" val="1034.7"/>
      <inputCells r="E18" val="1335.87"/>
      <inputCells r="E19" val="1158.94"/>
      <inputCells r="E20" val="902.19"/>
      <inputCells r="E21" val="661.09"/>
      <inputCells r="E22" val="704.28"/>
      <inputCells r="E23" val="438.76"/>
      <inputCells r="E24" val="518.07"/>
      <inputCells r="E25" val="1443.98"/>
      <inputCells r="E26" val="1277.85"/>
      <inputCells r="E27" val="1589.42"/>
      <inputCells r="E28" val="1311.26"/>
      <inputCells r="E29" val="573.32"/>
      <inputCells r="E30" val="1099.69"/>
      <inputCells r="E31" val="760.93"/>
    </scenario>
  </scenarios>
  <mergeCells count="1">
    <mergeCell ref="L15:M15"/>
  </mergeCells>
  <pageMargins left="0.75" right="0.75" top="1" bottom="1" header="0" footer="0"/>
  <pageSetup orientation="landscape"/>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7DA7-B05A-482F-B7DA-B8BCDC1E5147}">
  <dimension ref="A1:W54"/>
  <sheetViews>
    <sheetView showGridLines="0" tabSelected="1" zoomScale="90" zoomScaleNormal="90" workbookViewId="0">
      <selection activeCell="D47" sqref="D47"/>
      <extLst>
        <ext xmlns:xlsdti="http://schemas.microsoft.com/office/spreadsheetml/2023/showDataTypeIcons" uri="{77bfe23e-c014-4d31-8a63-9c772dbf06b6}">
          <xlsdti:showDataTypeIcons visible="0"/>
        </ext>
      </extLst>
    </sheetView>
  </sheetViews>
  <sheetFormatPr defaultRowHeight="14.4" x14ac:dyDescent="0.3"/>
  <sheetData>
    <row r="1" spans="1:23" x14ac:dyDescent="0.3">
      <c r="A1" s="19" t="s">
        <v>129</v>
      </c>
      <c r="B1" s="19"/>
      <c r="C1" s="19"/>
      <c r="D1" s="19"/>
      <c r="E1" s="19"/>
      <c r="F1" s="19"/>
      <c r="G1" s="19"/>
      <c r="H1" s="19"/>
      <c r="I1" s="19"/>
      <c r="J1" s="19"/>
      <c r="K1" s="19"/>
      <c r="L1" s="19"/>
      <c r="M1" s="19"/>
      <c r="N1" s="19"/>
      <c r="O1" s="19"/>
      <c r="P1" s="19"/>
      <c r="Q1" s="19"/>
      <c r="R1" s="19"/>
      <c r="S1" s="19"/>
      <c r="T1" s="19"/>
      <c r="U1" s="19"/>
      <c r="V1" s="19"/>
      <c r="W1" s="19"/>
    </row>
    <row r="2" spans="1:23" x14ac:dyDescent="0.3">
      <c r="A2" s="19"/>
      <c r="B2" s="19"/>
      <c r="C2" s="19"/>
      <c r="D2" s="19"/>
      <c r="E2" s="19"/>
      <c r="F2" s="19"/>
      <c r="G2" s="19"/>
      <c r="H2" s="19"/>
      <c r="I2" s="19"/>
      <c r="J2" s="19"/>
      <c r="K2" s="19"/>
      <c r="L2" s="19"/>
      <c r="M2" s="19"/>
      <c r="N2" s="19"/>
      <c r="O2" s="19"/>
      <c r="P2" s="19"/>
      <c r="Q2" s="19"/>
      <c r="R2" s="19"/>
      <c r="S2" s="19"/>
      <c r="T2" s="19"/>
      <c r="U2" s="19"/>
      <c r="V2" s="19"/>
      <c r="W2" s="19"/>
    </row>
    <row r="44" spans="7:17" x14ac:dyDescent="0.3">
      <c r="G44" s="25"/>
      <c r="H44" s="25"/>
      <c r="I44" s="25"/>
      <c r="J44" s="25"/>
      <c r="K44" s="25"/>
      <c r="L44" s="25"/>
      <c r="M44" s="25"/>
      <c r="N44" s="25"/>
      <c r="O44" s="25"/>
      <c r="P44" s="25"/>
      <c r="Q44" s="25"/>
    </row>
    <row r="45" spans="7:17" x14ac:dyDescent="0.3">
      <c r="G45" s="25"/>
      <c r="H45" s="25"/>
      <c r="I45" s="25"/>
      <c r="J45" s="25"/>
      <c r="K45" s="25"/>
      <c r="L45" s="25"/>
      <c r="M45" s="25"/>
      <c r="N45" s="25"/>
      <c r="O45" s="25"/>
      <c r="P45" s="25"/>
      <c r="Q45" s="25"/>
    </row>
    <row r="46" spans="7:17" x14ac:dyDescent="0.3">
      <c r="G46" s="25"/>
      <c r="H46" s="25"/>
      <c r="I46" s="25"/>
      <c r="J46" s="25"/>
      <c r="K46" s="25"/>
      <c r="L46" s="25"/>
      <c r="M46" s="25"/>
      <c r="N46" s="25"/>
      <c r="O46" s="25"/>
      <c r="P46" s="25"/>
      <c r="Q46" s="25"/>
    </row>
    <row r="47" spans="7:17" x14ac:dyDescent="0.3">
      <c r="G47" s="25"/>
      <c r="H47" s="25"/>
      <c r="I47" s="25"/>
      <c r="J47" s="25"/>
      <c r="K47" s="25"/>
      <c r="L47" s="25"/>
      <c r="M47" s="25"/>
      <c r="N47" s="25"/>
      <c r="O47" s="25"/>
      <c r="P47" s="25"/>
      <c r="Q47" s="25"/>
    </row>
    <row r="48" spans="7:17" x14ac:dyDescent="0.3">
      <c r="G48" s="25"/>
      <c r="H48" s="25"/>
      <c r="I48" s="25"/>
      <c r="J48" s="25"/>
      <c r="K48" s="25"/>
      <c r="L48" s="25"/>
      <c r="M48" s="25"/>
      <c r="N48" s="25"/>
      <c r="O48" s="25"/>
      <c r="P48" s="25"/>
      <c r="Q48" s="25"/>
    </row>
    <row r="49" spans="7:17" x14ac:dyDescent="0.3">
      <c r="G49" s="25"/>
      <c r="H49" s="25"/>
      <c r="I49" s="25"/>
      <c r="J49" s="25"/>
      <c r="K49" s="25"/>
      <c r="L49" s="25"/>
      <c r="M49" s="25"/>
      <c r="N49" s="25"/>
      <c r="O49" s="25"/>
      <c r="P49" s="25"/>
      <c r="Q49" s="25"/>
    </row>
    <row r="50" spans="7:17" x14ac:dyDescent="0.3">
      <c r="G50" s="25"/>
      <c r="H50" s="25"/>
      <c r="I50" s="25"/>
      <c r="J50" s="25"/>
      <c r="K50" s="25"/>
      <c r="L50" s="25"/>
      <c r="M50" s="25"/>
      <c r="N50" s="25"/>
      <c r="O50" s="25"/>
      <c r="P50" s="25"/>
      <c r="Q50" s="25"/>
    </row>
    <row r="51" spans="7:17" x14ac:dyDescent="0.3">
      <c r="G51" s="25"/>
      <c r="H51" s="25"/>
      <c r="I51" s="25"/>
      <c r="J51" s="25"/>
      <c r="K51" s="25"/>
      <c r="L51" s="25"/>
      <c r="M51" s="25"/>
      <c r="N51" s="25"/>
      <c r="O51" s="25"/>
      <c r="P51" s="25"/>
      <c r="Q51" s="25"/>
    </row>
    <row r="52" spans="7:17" x14ac:dyDescent="0.3">
      <c r="G52" s="25"/>
      <c r="H52" s="25"/>
      <c r="I52" s="25"/>
      <c r="J52" s="25"/>
      <c r="K52" s="25"/>
      <c r="L52" s="25"/>
      <c r="M52" s="25"/>
      <c r="N52" s="25"/>
      <c r="O52" s="25"/>
      <c r="P52" s="25"/>
      <c r="Q52" s="25"/>
    </row>
    <row r="53" spans="7:17" x14ac:dyDescent="0.3">
      <c r="G53" s="25"/>
      <c r="H53" s="25"/>
      <c r="I53" s="25"/>
      <c r="J53" s="25"/>
      <c r="K53" s="25"/>
      <c r="L53" s="25"/>
      <c r="M53" s="25"/>
      <c r="N53" s="25"/>
      <c r="O53" s="25"/>
      <c r="P53" s="25"/>
      <c r="Q53" s="25"/>
    </row>
    <row r="54" spans="7:17" x14ac:dyDescent="0.3">
      <c r="G54" s="25"/>
      <c r="H54" s="25"/>
      <c r="I54" s="25"/>
      <c r="J54" s="25"/>
      <c r="K54" s="25"/>
      <c r="L54" s="25"/>
      <c r="M54" s="25"/>
      <c r="N54" s="25"/>
      <c r="O54" s="25"/>
      <c r="P54" s="25"/>
      <c r="Q54" s="25"/>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70D7B-6242-4279-ACCD-2969FB9DDC29}">
  <dimension ref="A1:I18"/>
  <sheetViews>
    <sheetView workbookViewId="0">
      <selection sqref="A1:I21"/>
    </sheetView>
  </sheetViews>
  <sheetFormatPr defaultRowHeight="14.4" x14ac:dyDescent="0.3"/>
  <sheetData>
    <row r="1" spans="1:9" x14ac:dyDescent="0.3">
      <c r="A1" t="s">
        <v>81</v>
      </c>
    </row>
    <row r="2" spans="1:9" ht="15" thickBot="1" x14ac:dyDescent="0.35"/>
    <row r="3" spans="1:9" x14ac:dyDescent="0.3">
      <c r="A3" s="10" t="s">
        <v>82</v>
      </c>
      <c r="B3" s="10"/>
    </row>
    <row r="4" spans="1:9" x14ac:dyDescent="0.3">
      <c r="A4" t="s">
        <v>83</v>
      </c>
      <c r="B4">
        <v>0.77340306414342608</v>
      </c>
    </row>
    <row r="5" spans="1:9" x14ac:dyDescent="0.3">
      <c r="A5" t="s">
        <v>84</v>
      </c>
      <c r="B5">
        <v>0.59815229962644045</v>
      </c>
    </row>
    <row r="6" spans="1:9" x14ac:dyDescent="0.3">
      <c r="A6" t="s">
        <v>85</v>
      </c>
      <c r="B6">
        <v>0.59612276578616996</v>
      </c>
    </row>
    <row r="7" spans="1:9" x14ac:dyDescent="0.3">
      <c r="A7" t="s">
        <v>86</v>
      </c>
      <c r="B7">
        <v>190.19247302285618</v>
      </c>
    </row>
    <row r="8" spans="1:9" ht="15" thickBot="1" x14ac:dyDescent="0.35">
      <c r="A8" s="8" t="s">
        <v>87</v>
      </c>
      <c r="B8" s="8">
        <v>200</v>
      </c>
    </row>
    <row r="10" spans="1:9" ht="15" thickBot="1" x14ac:dyDescent="0.35">
      <c r="A10" t="s">
        <v>88</v>
      </c>
    </row>
    <row r="11" spans="1:9" x14ac:dyDescent="0.3">
      <c r="A11" s="9"/>
      <c r="B11" s="9" t="s">
        <v>93</v>
      </c>
      <c r="C11" s="9" t="s">
        <v>94</v>
      </c>
      <c r="D11" s="9" t="s">
        <v>95</v>
      </c>
      <c r="E11" s="9" t="s">
        <v>96</v>
      </c>
      <c r="F11" s="9" t="s">
        <v>97</v>
      </c>
    </row>
    <row r="12" spans="1:9" x14ac:dyDescent="0.3">
      <c r="A12" t="s">
        <v>89</v>
      </c>
      <c r="B12">
        <v>1</v>
      </c>
      <c r="C12">
        <v>10661102.788791113</v>
      </c>
      <c r="D12">
        <v>10661102.788791113</v>
      </c>
      <c r="E12">
        <v>294.72398427548103</v>
      </c>
      <c r="F12">
        <v>4.6269367558912487E-41</v>
      </c>
    </row>
    <row r="13" spans="1:9" x14ac:dyDescent="0.3">
      <c r="A13" t="s">
        <v>90</v>
      </c>
      <c r="B13">
        <v>198</v>
      </c>
      <c r="C13">
        <v>7162289.005320874</v>
      </c>
      <c r="D13">
        <v>36173.176794549872</v>
      </c>
    </row>
    <row r="14" spans="1:9" ht="15" thickBot="1" x14ac:dyDescent="0.35">
      <c r="A14" s="8" t="s">
        <v>91</v>
      </c>
      <c r="B14" s="8">
        <v>199</v>
      </c>
      <c r="C14" s="8">
        <v>17823391.794111986</v>
      </c>
      <c r="D14" s="8"/>
      <c r="E14" s="8"/>
      <c r="F14" s="8"/>
    </row>
    <row r="15" spans="1:9" ht="15" thickBot="1" x14ac:dyDescent="0.35"/>
    <row r="16" spans="1:9" x14ac:dyDescent="0.3">
      <c r="A16" s="9"/>
      <c r="B16" s="9" t="s">
        <v>98</v>
      </c>
      <c r="C16" s="9" t="s">
        <v>86</v>
      </c>
      <c r="D16" s="9" t="s">
        <v>99</v>
      </c>
      <c r="E16" s="9" t="s">
        <v>100</v>
      </c>
      <c r="F16" s="9" t="s">
        <v>101</v>
      </c>
      <c r="G16" s="9" t="s">
        <v>102</v>
      </c>
      <c r="H16" s="9" t="s">
        <v>103</v>
      </c>
      <c r="I16" s="9" t="s">
        <v>104</v>
      </c>
    </row>
    <row r="17" spans="1:9" x14ac:dyDescent="0.3">
      <c r="A17" t="s">
        <v>92</v>
      </c>
      <c r="B17">
        <v>393.99766516951854</v>
      </c>
      <c r="C17">
        <v>36.476267980965957</v>
      </c>
      <c r="D17">
        <v>10.801479618888488</v>
      </c>
      <c r="E17">
        <v>1.113784331442055E-21</v>
      </c>
      <c r="F17">
        <v>322.0658271848128</v>
      </c>
      <c r="G17">
        <v>465.92950315422428</v>
      </c>
      <c r="H17">
        <v>322.0658271848128</v>
      </c>
      <c r="I17">
        <v>465.92950315422428</v>
      </c>
    </row>
    <row r="18" spans="1:9" ht="15" thickBot="1" x14ac:dyDescent="0.35">
      <c r="A18" s="8" t="s">
        <v>105</v>
      </c>
      <c r="B18" s="8">
        <v>1.7048370834525661</v>
      </c>
      <c r="C18" s="8">
        <v>9.9305921034454653E-2</v>
      </c>
      <c r="D18" s="8">
        <v>17.167527028535034</v>
      </c>
      <c r="E18" s="8">
        <v>4.626936755891315E-41</v>
      </c>
      <c r="F18" s="8">
        <v>1.5090040715199893</v>
      </c>
      <c r="G18" s="8">
        <v>1.900670095385143</v>
      </c>
      <c r="H18" s="8">
        <v>1.5090040715199893</v>
      </c>
      <c r="I18" s="8">
        <v>1.900670095385143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66FEF-C5C0-488E-8E48-8D95FC7E30CB}">
  <dimension ref="A1:F15"/>
  <sheetViews>
    <sheetView workbookViewId="0">
      <selection activeCell="D22" sqref="D22"/>
    </sheetView>
  </sheetViews>
  <sheetFormatPr defaultRowHeight="14.4" x14ac:dyDescent="0.3"/>
  <cols>
    <col min="1" max="1" width="16.5546875" bestFit="1" customWidth="1"/>
    <col min="2" max="2" width="12" bestFit="1" customWidth="1"/>
    <col min="5" max="5" width="16.5546875" bestFit="1" customWidth="1"/>
    <col min="6" max="6" width="12.6640625" bestFit="1" customWidth="1"/>
  </cols>
  <sheetData>
    <row r="1" spans="1:6" x14ac:dyDescent="0.3">
      <c r="A1" s="24" t="s">
        <v>10</v>
      </c>
      <c r="B1" s="24"/>
      <c r="E1" s="24" t="s">
        <v>6</v>
      </c>
      <c r="F1" s="24"/>
    </row>
    <row r="3" spans="1:6" x14ac:dyDescent="0.3">
      <c r="A3" t="s">
        <v>106</v>
      </c>
      <c r="B3">
        <v>341.43505000000005</v>
      </c>
      <c r="E3" t="s">
        <v>106</v>
      </c>
      <c r="F3">
        <v>976.08879999999976</v>
      </c>
    </row>
    <row r="4" spans="1:6" x14ac:dyDescent="0.3">
      <c r="A4" t="s">
        <v>86</v>
      </c>
      <c r="B4">
        <v>9.6001196472332353</v>
      </c>
      <c r="E4" t="s">
        <v>86</v>
      </c>
      <c r="F4">
        <v>21.161850448978388</v>
      </c>
    </row>
    <row r="5" spans="1:6" x14ac:dyDescent="0.3">
      <c r="A5" t="s">
        <v>107</v>
      </c>
      <c r="B5">
        <v>332.255</v>
      </c>
      <c r="E5" t="s">
        <v>107</v>
      </c>
      <c r="F5">
        <v>976.72</v>
      </c>
    </row>
    <row r="6" spans="1:6" x14ac:dyDescent="0.3">
      <c r="A6" t="s">
        <v>108</v>
      </c>
      <c r="B6" t="e">
        <v>#N/A</v>
      </c>
      <c r="E6" t="s">
        <v>108</v>
      </c>
      <c r="F6" t="e">
        <v>#N/A</v>
      </c>
    </row>
    <row r="7" spans="1:6" x14ac:dyDescent="0.3">
      <c r="A7" t="s">
        <v>109</v>
      </c>
      <c r="B7">
        <v>135.76619405521654</v>
      </c>
      <c r="E7" t="s">
        <v>109</v>
      </c>
      <c r="F7">
        <v>299.27375909856408</v>
      </c>
    </row>
    <row r="8" spans="1:6" x14ac:dyDescent="0.3">
      <c r="A8" t="s">
        <v>110</v>
      </c>
      <c r="B8">
        <v>18432.459448238715</v>
      </c>
      <c r="E8" t="s">
        <v>110</v>
      </c>
      <c r="F8">
        <v>89564.782884985354</v>
      </c>
    </row>
    <row r="9" spans="1:6" x14ac:dyDescent="0.3">
      <c r="A9" t="s">
        <v>111</v>
      </c>
      <c r="B9">
        <v>0.26450643813581998</v>
      </c>
      <c r="E9" t="s">
        <v>111</v>
      </c>
      <c r="F9">
        <v>-8.8595231919741835E-2</v>
      </c>
    </row>
    <row r="10" spans="1:6" x14ac:dyDescent="0.3">
      <c r="A10" t="s">
        <v>112</v>
      </c>
      <c r="B10">
        <v>0.57339636063424626</v>
      </c>
      <c r="E10" t="s">
        <v>112</v>
      </c>
      <c r="F10">
        <v>0.14685796564193437</v>
      </c>
    </row>
    <row r="11" spans="1:6" x14ac:dyDescent="0.3">
      <c r="A11" t="s">
        <v>113</v>
      </c>
      <c r="B11">
        <v>704.83</v>
      </c>
      <c r="E11" t="s">
        <v>113</v>
      </c>
      <c r="F11">
        <v>1665.15</v>
      </c>
    </row>
    <row r="12" spans="1:6" x14ac:dyDescent="0.3">
      <c r="A12" t="s">
        <v>114</v>
      </c>
      <c r="B12">
        <v>64.63</v>
      </c>
      <c r="E12" t="s">
        <v>114</v>
      </c>
      <c r="F12">
        <v>258.51</v>
      </c>
    </row>
    <row r="13" spans="1:6" x14ac:dyDescent="0.3">
      <c r="A13" t="s">
        <v>115</v>
      </c>
      <c r="B13">
        <v>769.46</v>
      </c>
      <c r="E13" t="s">
        <v>115</v>
      </c>
      <c r="F13">
        <v>1923.66</v>
      </c>
    </row>
    <row r="14" spans="1:6" x14ac:dyDescent="0.3">
      <c r="A14" t="s">
        <v>116</v>
      </c>
      <c r="B14">
        <v>68287.010000000009</v>
      </c>
      <c r="E14" t="s">
        <v>116</v>
      </c>
      <c r="F14">
        <v>195217.75999999995</v>
      </c>
    </row>
    <row r="15" spans="1:6" ht="15" thickBot="1" x14ac:dyDescent="0.35">
      <c r="A15" s="8" t="s">
        <v>117</v>
      </c>
      <c r="B15" s="8">
        <v>200</v>
      </c>
      <c r="E15" s="8" t="s">
        <v>117</v>
      </c>
      <c r="F15" s="8">
        <v>200</v>
      </c>
    </row>
  </sheetData>
  <mergeCells count="2">
    <mergeCell ref="A1:B1"/>
    <mergeCell ref="E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F469-4A78-4483-B32A-3D02067CE051}">
  <dimension ref="A3:B9"/>
  <sheetViews>
    <sheetView workbookViewId="0">
      <selection activeCell="L21" sqref="L21"/>
    </sheetView>
  </sheetViews>
  <sheetFormatPr defaultRowHeight="14.4" x14ac:dyDescent="0.3"/>
  <cols>
    <col min="1" max="1" width="12.5546875" bestFit="1" customWidth="1"/>
    <col min="2" max="2" width="11.6640625" bestFit="1" customWidth="1"/>
  </cols>
  <sheetData>
    <row r="3" spans="1:2" x14ac:dyDescent="0.3">
      <c r="A3" s="6" t="s">
        <v>78</v>
      </c>
      <c r="B3" t="s">
        <v>80</v>
      </c>
    </row>
    <row r="4" spans="1:2" x14ac:dyDescent="0.3">
      <c r="A4" s="7" t="s">
        <v>36</v>
      </c>
      <c r="B4">
        <v>43468.330000000009</v>
      </c>
    </row>
    <row r="5" spans="1:2" x14ac:dyDescent="0.3">
      <c r="A5" s="7" t="s">
        <v>20</v>
      </c>
      <c r="B5">
        <v>32441.640000000007</v>
      </c>
    </row>
    <row r="6" spans="1:2" x14ac:dyDescent="0.3">
      <c r="A6" s="7" t="s">
        <v>26</v>
      </c>
      <c r="B6">
        <v>34975.42</v>
      </c>
    </row>
    <row r="7" spans="1:2" x14ac:dyDescent="0.3">
      <c r="A7" s="7" t="s">
        <v>22</v>
      </c>
      <c r="B7">
        <v>40248.789999999994</v>
      </c>
    </row>
    <row r="8" spans="1:2" x14ac:dyDescent="0.3">
      <c r="A8" s="7" t="s">
        <v>13</v>
      </c>
      <c r="B8">
        <v>44083.58</v>
      </c>
    </row>
    <row r="9" spans="1:2" x14ac:dyDescent="0.3">
      <c r="A9" s="7" t="s">
        <v>79</v>
      </c>
      <c r="B9">
        <v>195217.76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7E384-3C60-4AD1-AA41-73AB14CE42FD}">
  <dimension ref="A3:B9"/>
  <sheetViews>
    <sheetView workbookViewId="0">
      <selection activeCell="I7" sqref="I7"/>
    </sheetView>
  </sheetViews>
  <sheetFormatPr defaultRowHeight="14.4" x14ac:dyDescent="0.3"/>
  <cols>
    <col min="1" max="1" width="12.5546875" bestFit="1" customWidth="1"/>
    <col min="2" max="2" width="15.33203125" bestFit="1" customWidth="1"/>
  </cols>
  <sheetData>
    <row r="3" spans="1:2" x14ac:dyDescent="0.3">
      <c r="A3" s="6" t="s">
        <v>78</v>
      </c>
      <c r="B3" t="s">
        <v>130</v>
      </c>
    </row>
    <row r="4" spans="1:2" x14ac:dyDescent="0.3">
      <c r="A4" s="7" t="s">
        <v>36</v>
      </c>
      <c r="B4">
        <v>365.19090909090903</v>
      </c>
    </row>
    <row r="5" spans="1:2" x14ac:dyDescent="0.3">
      <c r="A5" s="7" t="s">
        <v>20</v>
      </c>
      <c r="B5">
        <v>363.7059375</v>
      </c>
    </row>
    <row r="6" spans="1:2" x14ac:dyDescent="0.3">
      <c r="A6" s="7" t="s">
        <v>26</v>
      </c>
      <c r="B6">
        <v>305.18666666666672</v>
      </c>
    </row>
    <row r="7" spans="1:2" x14ac:dyDescent="0.3">
      <c r="A7" s="7" t="s">
        <v>22</v>
      </c>
      <c r="B7">
        <v>325.99785714285724</v>
      </c>
    </row>
    <row r="8" spans="1:2" x14ac:dyDescent="0.3">
      <c r="A8" s="7" t="s">
        <v>13</v>
      </c>
      <c r="B8">
        <v>348.50767441860467</v>
      </c>
    </row>
    <row r="9" spans="1:2" x14ac:dyDescent="0.3">
      <c r="A9" s="7" t="s">
        <v>79</v>
      </c>
      <c r="B9">
        <v>341.43505000000022</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4D4CB-1927-4CB8-B938-F5A01AFBAFFA}">
  <dimension ref="A3:C9"/>
  <sheetViews>
    <sheetView workbookViewId="0">
      <selection activeCell="E25" sqref="E25"/>
    </sheetView>
  </sheetViews>
  <sheetFormatPr defaultRowHeight="14.4" x14ac:dyDescent="0.3"/>
  <cols>
    <col min="1" max="1" width="13.109375" bestFit="1" customWidth="1"/>
    <col min="2" max="2" width="12.109375" bestFit="1" customWidth="1"/>
    <col min="3" max="3" width="11.6640625" bestFit="1" customWidth="1"/>
  </cols>
  <sheetData>
    <row r="3" spans="1:3" x14ac:dyDescent="0.3">
      <c r="A3" s="6" t="s">
        <v>78</v>
      </c>
      <c r="B3" t="s">
        <v>118</v>
      </c>
      <c r="C3" t="s">
        <v>80</v>
      </c>
    </row>
    <row r="4" spans="1:3" x14ac:dyDescent="0.3">
      <c r="A4" s="7" t="s">
        <v>14</v>
      </c>
      <c r="B4">
        <v>16901.630000000005</v>
      </c>
      <c r="C4">
        <v>47002.46</v>
      </c>
    </row>
    <row r="5" spans="1:3" x14ac:dyDescent="0.3">
      <c r="A5" s="7" t="s">
        <v>17</v>
      </c>
      <c r="B5">
        <v>18784.490000000002</v>
      </c>
      <c r="C5">
        <v>41927.590000000011</v>
      </c>
    </row>
    <row r="6" spans="1:3" x14ac:dyDescent="0.3">
      <c r="A6" s="7" t="s">
        <v>23</v>
      </c>
      <c r="B6">
        <v>9182.15</v>
      </c>
      <c r="C6">
        <v>41044.000000000007</v>
      </c>
    </row>
    <row r="7" spans="1:3" x14ac:dyDescent="0.3">
      <c r="A7" s="7" t="s">
        <v>29</v>
      </c>
      <c r="B7">
        <v>11579.140000000001</v>
      </c>
      <c r="C7">
        <v>36612.89</v>
      </c>
    </row>
    <row r="8" spans="1:3" x14ac:dyDescent="0.3">
      <c r="A8" s="7" t="s">
        <v>41</v>
      </c>
      <c r="B8">
        <v>11839.599999999999</v>
      </c>
      <c r="C8">
        <v>28630.819999999989</v>
      </c>
    </row>
    <row r="9" spans="1:3" x14ac:dyDescent="0.3">
      <c r="A9" s="7" t="s">
        <v>79</v>
      </c>
      <c r="B9">
        <v>68287.010000000009</v>
      </c>
      <c r="C9">
        <v>195217.75999999998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30E10-4241-44FF-8A07-E3A05C236C02}">
  <dimension ref="A3:B9"/>
  <sheetViews>
    <sheetView workbookViewId="0">
      <selection activeCell="L1" sqref="L1:L1048576"/>
    </sheetView>
  </sheetViews>
  <sheetFormatPr defaultRowHeight="14.4" x14ac:dyDescent="0.3"/>
  <cols>
    <col min="1" max="1" width="12.5546875" bestFit="1" customWidth="1"/>
    <col min="2" max="2" width="12.109375" bestFit="1" customWidth="1"/>
    <col min="3" max="3" width="25" bestFit="1" customWidth="1"/>
  </cols>
  <sheetData>
    <row r="3" spans="1:2" x14ac:dyDescent="0.3">
      <c r="A3" s="6" t="s">
        <v>78</v>
      </c>
      <c r="B3" t="s">
        <v>118</v>
      </c>
    </row>
    <row r="4" spans="1:2" x14ac:dyDescent="0.3">
      <c r="A4" s="7" t="s">
        <v>36</v>
      </c>
      <c r="B4">
        <v>16068.399999999998</v>
      </c>
    </row>
    <row r="5" spans="1:2" x14ac:dyDescent="0.3">
      <c r="A5" s="7" t="s">
        <v>20</v>
      </c>
      <c r="B5">
        <v>11638.59</v>
      </c>
    </row>
    <row r="6" spans="1:2" x14ac:dyDescent="0.3">
      <c r="A6" s="7" t="s">
        <v>26</v>
      </c>
      <c r="B6">
        <v>11902.280000000002</v>
      </c>
    </row>
    <row r="7" spans="1:2" x14ac:dyDescent="0.3">
      <c r="A7" s="7" t="s">
        <v>22</v>
      </c>
      <c r="B7">
        <v>13691.910000000005</v>
      </c>
    </row>
    <row r="8" spans="1:2" x14ac:dyDescent="0.3">
      <c r="A8" s="7" t="s">
        <v>13</v>
      </c>
      <c r="B8">
        <v>14985.830000000002</v>
      </c>
    </row>
    <row r="9" spans="1:2" x14ac:dyDescent="0.3">
      <c r="A9" s="7" t="s">
        <v>79</v>
      </c>
      <c r="B9">
        <v>68287.010000000009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E262C-CF05-404C-949F-CDCE8976D4B8}">
  <dimension ref="A3:B13"/>
  <sheetViews>
    <sheetView zoomScale="81" workbookViewId="0">
      <selection activeCell="O18" sqref="O18"/>
    </sheetView>
  </sheetViews>
  <sheetFormatPr defaultRowHeight="14.4" x14ac:dyDescent="0.3"/>
  <cols>
    <col min="1" max="1" width="13.109375" bestFit="1" customWidth="1"/>
    <col min="2" max="2" width="11.6640625" bestFit="1" customWidth="1"/>
    <col min="3" max="3" width="12.109375" bestFit="1" customWidth="1"/>
  </cols>
  <sheetData>
    <row r="3" spans="1:2" x14ac:dyDescent="0.3">
      <c r="A3" s="6" t="s">
        <v>78</v>
      </c>
      <c r="B3" t="s">
        <v>80</v>
      </c>
    </row>
    <row r="4" spans="1:2" x14ac:dyDescent="0.3">
      <c r="A4" s="7" t="s">
        <v>120</v>
      </c>
      <c r="B4">
        <v>19029.960000000003</v>
      </c>
    </row>
    <row r="5" spans="1:2" x14ac:dyDescent="0.3">
      <c r="A5" s="7" t="s">
        <v>121</v>
      </c>
      <c r="B5">
        <v>18507.339999999997</v>
      </c>
    </row>
    <row r="6" spans="1:2" x14ac:dyDescent="0.3">
      <c r="A6" s="7" t="s">
        <v>122</v>
      </c>
      <c r="B6">
        <v>20187.509999999995</v>
      </c>
    </row>
    <row r="7" spans="1:2" x14ac:dyDescent="0.3">
      <c r="A7" s="7" t="s">
        <v>123</v>
      </c>
      <c r="B7">
        <v>11609.039999999999</v>
      </c>
    </row>
    <row r="8" spans="1:2" x14ac:dyDescent="0.3">
      <c r="A8" s="7" t="s">
        <v>124</v>
      </c>
      <c r="B8">
        <v>10091.700000000001</v>
      </c>
    </row>
    <row r="9" spans="1:2" x14ac:dyDescent="0.3">
      <c r="A9" s="7" t="s">
        <v>125</v>
      </c>
      <c r="B9">
        <v>20533.5</v>
      </c>
    </row>
    <row r="10" spans="1:2" x14ac:dyDescent="0.3">
      <c r="A10" s="7" t="s">
        <v>126</v>
      </c>
      <c r="B10">
        <v>14215.240000000002</v>
      </c>
    </row>
    <row r="11" spans="1:2" x14ac:dyDescent="0.3">
      <c r="A11" s="7" t="s">
        <v>127</v>
      </c>
      <c r="B11">
        <v>20135.03</v>
      </c>
    </row>
    <row r="12" spans="1:2" x14ac:dyDescent="0.3">
      <c r="A12" s="7" t="s">
        <v>128</v>
      </c>
      <c r="B12">
        <v>11120.04</v>
      </c>
    </row>
    <row r="13" spans="1:2" x14ac:dyDescent="0.3">
      <c r="A13" s="7" t="s">
        <v>79</v>
      </c>
      <c r="B13">
        <v>145429.36000000002</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 Instructions</vt:lpstr>
      <vt:lpstr>Dataset</vt:lpstr>
      <vt:lpstr>Dashboard</vt:lpstr>
      <vt:lpstr>Linear Regression</vt:lpstr>
      <vt:lpstr>Descriptive Statistics</vt:lpstr>
      <vt:lpstr>Sales by Region</vt:lpstr>
      <vt:lpstr>Average Profit By Region</vt:lpstr>
      <vt:lpstr>Sales &amp; Profit</vt:lpstr>
      <vt:lpstr>Profit By Region</vt:lpstr>
      <vt:lpstr>Monthly Sales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 Maradiya</cp:lastModifiedBy>
  <dcterms:modified xsi:type="dcterms:W3CDTF">2026-05-04T16:16:50Z</dcterms:modified>
</cp:coreProperties>
</file>